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"/>
    </mc:Choice>
  </mc:AlternateContent>
  <xr:revisionPtr revIDLastSave="198" documentId="8_{F1ECBFBC-D87D-8847-87DE-B5DA96C0745E}" xr6:coauthVersionLast="47" xr6:coauthVersionMax="47" xr10:uidLastSave="{F55C15C0-8018-3D4D-8932-565F9D2A7181}"/>
  <bookViews>
    <workbookView xWindow="0" yWindow="760" windowWidth="29280" windowHeight="18880" xr2:uid="{3D1955E4-042E-8A46-B97E-98CB368699EC}"/>
  </bookViews>
  <sheets>
    <sheet name="protein" sheetId="4" r:id="rId1"/>
    <sheet name="working_sheet" sheetId="3" r:id="rId2"/>
  </sheets>
  <definedNames>
    <definedName name="_xlnm._FilterDatabase" localSheetId="1" hidden="1">working_sheet!$B$1:$B$518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2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3" i="3"/>
  <c r="G2" i="3"/>
  <c r="D2" i="3" a="1"/>
  <c r="D2" i="3" s="1"/>
  <c r="D3" i="3" a="1"/>
  <c r="D3" i="3" s="1"/>
  <c r="D10" i="3" a="1"/>
  <c r="D10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33" i="3" a="1"/>
  <c r="D33" i="3" s="1"/>
  <c r="D34" i="3" a="1"/>
  <c r="D34" i="3" s="1"/>
  <c r="D35" i="3" a="1"/>
  <c r="D35" i="3" s="1"/>
  <c r="D36" i="3" a="1"/>
  <c r="D36" i="3" s="1"/>
  <c r="D37" i="3" a="1"/>
  <c r="D37" i="3" s="1"/>
  <c r="D38" i="3" a="1"/>
  <c r="D38" i="3" s="1"/>
  <c r="D39" i="3" a="1"/>
  <c r="D39" i="3" s="1"/>
  <c r="D40" i="3" a="1"/>
  <c r="D40" i="3" s="1"/>
  <c r="D41" i="3" a="1"/>
  <c r="D41" i="3" s="1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66" i="3" a="1"/>
  <c r="D66" i="3" s="1"/>
  <c r="D67" i="3" a="1"/>
  <c r="D67" i="3" s="1"/>
  <c r="D68" i="3" a="1"/>
  <c r="D68" i="3" s="1"/>
  <c r="D69" i="3" a="1"/>
  <c r="D69" i="3" s="1"/>
  <c r="D70" i="3" a="1"/>
  <c r="D70" i="3" s="1"/>
  <c r="D71" i="3" a="1"/>
  <c r="D71" i="3" s="1"/>
  <c r="D72" i="3" a="1"/>
  <c r="D72" i="3" s="1"/>
  <c r="D73" i="3" a="1"/>
  <c r="D73" i="3" s="1"/>
  <c r="D74" i="3" a="1"/>
  <c r="D74" i="3" s="1"/>
  <c r="D75" i="3" a="1"/>
  <c r="D75" i="3" s="1"/>
  <c r="D76" i="3" a="1"/>
  <c r="D76" i="3" s="1"/>
  <c r="D77" i="3" a="1"/>
  <c r="D77" i="3" s="1"/>
  <c r="D78" i="3" a="1"/>
  <c r="D78" i="3" s="1"/>
  <c r="D79" i="3" a="1"/>
  <c r="D79" i="3" s="1"/>
  <c r="D80" i="3" a="1"/>
  <c r="D80" i="3" s="1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 s="1"/>
  <c r="D89" i="3" a="1"/>
  <c r="D89" i="3" s="1"/>
  <c r="D90" i="3" a="1"/>
  <c r="D90" i="3" s="1"/>
  <c r="D91" i="3" a="1"/>
  <c r="D91" i="3" s="1"/>
  <c r="D92" i="3" a="1"/>
  <c r="D92" i="3" s="1"/>
  <c r="D93" i="3" a="1"/>
  <c r="D93" i="3" s="1"/>
  <c r="D94" i="3" a="1"/>
  <c r="D94" i="3" s="1"/>
  <c r="D95" i="3" a="1"/>
  <c r="D95" i="3" s="1"/>
  <c r="D96" i="3" a="1"/>
  <c r="D96" i="3" s="1"/>
  <c r="D97" i="3" a="1"/>
  <c r="D97" i="3" s="1"/>
  <c r="D98" i="3" a="1"/>
  <c r="D98" i="3" s="1"/>
  <c r="D99" i="3" a="1"/>
  <c r="D99" i="3" s="1"/>
  <c r="D100" i="3" a="1"/>
  <c r="D100" i="3" s="1"/>
  <c r="D101" i="3" a="1"/>
  <c r="D101" i="3" s="1"/>
  <c r="D102" i="3" a="1"/>
  <c r="D102" i="3" s="1"/>
  <c r="D103" i="3" a="1"/>
  <c r="D103" i="3" s="1"/>
  <c r="D104" i="3" a="1"/>
  <c r="D104" i="3" s="1"/>
  <c r="D105" i="3" a="1"/>
  <c r="D105" i="3" s="1"/>
  <c r="D106" i="3" a="1"/>
  <c r="D106" i="3" s="1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 s="1"/>
  <c r="D113" i="3" a="1"/>
  <c r="D113" i="3" s="1"/>
  <c r="D114" i="3" a="1"/>
  <c r="D114" i="3" s="1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4" i="3" a="1"/>
  <c r="D124" i="3" s="1"/>
  <c r="D125" i="3" a="1"/>
  <c r="D125" i="3" s="1"/>
  <c r="D126" i="3" a="1"/>
  <c r="D126" i="3" s="1"/>
  <c r="D127" i="3" a="1"/>
  <c r="D127" i="3" s="1"/>
  <c r="D128" i="3" a="1"/>
  <c r="D128" i="3" s="1"/>
  <c r="D129" i="3" a="1"/>
  <c r="D129" i="3" s="1"/>
  <c r="D130" i="3" a="1"/>
  <c r="D130" i="3" s="1"/>
  <c r="D131" i="3" a="1"/>
  <c r="D131" i="3" s="1"/>
  <c r="D132" i="3" a="1"/>
  <c r="D132" i="3" s="1"/>
  <c r="D133" i="3" a="1"/>
  <c r="D133" i="3" s="1"/>
  <c r="D134" i="3" a="1"/>
  <c r="D134" i="3" s="1"/>
  <c r="D135" i="3" a="1"/>
  <c r="D135" i="3" s="1"/>
  <c r="D136" i="3" a="1"/>
  <c r="D136" i="3" s="1"/>
  <c r="D137" i="3" a="1"/>
  <c r="D137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 s="1"/>
  <c r="D146" i="3" a="1"/>
  <c r="D146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 s="1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 s="1"/>
  <c r="D162" i="3" a="1"/>
  <c r="D162" i="3" s="1"/>
  <c r="D163" i="3" a="1"/>
  <c r="D163" i="3" s="1"/>
  <c r="D164" i="3" a="1"/>
  <c r="D164" i="3" s="1"/>
  <c r="D165" i="3" a="1"/>
  <c r="D165" i="3" s="1"/>
  <c r="D166" i="3" a="1"/>
  <c r="D166" i="3" s="1"/>
  <c r="D167" i="3" a="1"/>
  <c r="D167" i="3" s="1"/>
  <c r="D168" i="3" a="1"/>
  <c r="D168" i="3" s="1"/>
  <c r="D169" i="3" a="1"/>
  <c r="D169" i="3" s="1"/>
  <c r="D170" i="3" a="1"/>
  <c r="D170" i="3" s="1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 s="1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 s="1"/>
  <c r="D197" i="3" a="1"/>
  <c r="D197" i="3" s="1"/>
  <c r="D198" i="3" a="1"/>
  <c r="D198" i="3" s="1"/>
  <c r="D199" i="3" a="1"/>
  <c r="D199" i="3" s="1"/>
  <c r="D200" i="3" a="1"/>
  <c r="D200" i="3" s="1"/>
  <c r="D201" i="3" a="1"/>
  <c r="D201" i="3" s="1"/>
  <c r="D202" i="3" a="1"/>
  <c r="D202" i="3" s="1"/>
  <c r="D203" i="3" a="1"/>
  <c r="D203" i="3" s="1"/>
  <c r="D204" i="3" a="1"/>
  <c r="D204" i="3" s="1"/>
  <c r="D205" i="3" a="1"/>
  <c r="D205" i="3" s="1"/>
  <c r="D206" i="3" a="1"/>
  <c r="D206" i="3" s="1"/>
  <c r="D207" i="3" a="1"/>
  <c r="D207" i="3" s="1"/>
  <c r="D208" i="3" a="1"/>
  <c r="D208" i="3" s="1"/>
  <c r="D209" i="3" a="1"/>
  <c r="D209" i="3" s="1"/>
  <c r="D210" i="3" a="1"/>
  <c r="D210" i="3" s="1"/>
  <c r="D211" i="3" a="1"/>
  <c r="D211" i="3" s="1"/>
  <c r="D212" i="3" a="1"/>
  <c r="D212" i="3" s="1"/>
  <c r="D213" i="3" a="1"/>
  <c r="D213" i="3" s="1"/>
  <c r="D214" i="3" a="1"/>
  <c r="D214" i="3" s="1"/>
  <c r="D215" i="3" a="1"/>
  <c r="D215" i="3" s="1"/>
  <c r="D216" i="3" a="1"/>
  <c r="D216" i="3" s="1"/>
  <c r="D217" i="3" a="1"/>
  <c r="D217" i="3" s="1"/>
  <c r="D218" i="3" a="1"/>
  <c r="D218" i="3" s="1"/>
  <c r="D219" i="3" a="1"/>
  <c r="D219" i="3" s="1"/>
  <c r="D220" i="3" a="1"/>
  <c r="D220" i="3" s="1"/>
  <c r="D221" i="3" a="1"/>
  <c r="D221" i="3" s="1"/>
  <c r="D222" i="3" a="1"/>
  <c r="D222" i="3" s="1"/>
  <c r="D223" i="3" a="1"/>
  <c r="D223" i="3" s="1"/>
  <c r="D224" i="3" a="1"/>
  <c r="D224" i="3" s="1"/>
  <c r="D225" i="3" a="1"/>
  <c r="D225" i="3" s="1"/>
  <c r="D226" i="3" a="1"/>
  <c r="D226" i="3" s="1"/>
  <c r="D227" i="3" a="1"/>
  <c r="D227" i="3" s="1"/>
  <c r="D228" i="3" a="1"/>
  <c r="D228" i="3" s="1"/>
  <c r="D229" i="3" a="1"/>
  <c r="D229" i="3" s="1"/>
  <c r="D230" i="3" a="1"/>
  <c r="D230" i="3" s="1"/>
  <c r="D231" i="3" a="1"/>
  <c r="D231" i="3" s="1"/>
  <c r="D232" i="3" a="1"/>
  <c r="D232" i="3" s="1"/>
  <c r="D233" i="3" a="1"/>
  <c r="D233" i="3" s="1"/>
  <c r="D234" i="3" a="1"/>
  <c r="D234" i="3" s="1"/>
  <c r="D235" i="3" a="1"/>
  <c r="D235" i="3" s="1"/>
  <c r="D236" i="3" a="1"/>
  <c r="D236" i="3" s="1"/>
  <c r="D237" i="3" a="1"/>
  <c r="D237" i="3" s="1"/>
  <c r="D238" i="3" a="1"/>
  <c r="D238" i="3" s="1"/>
  <c r="D239" i="3" a="1"/>
  <c r="D239" i="3" s="1"/>
  <c r="D240" i="3" a="1"/>
  <c r="D240" i="3" s="1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 s="1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 s="1"/>
  <c r="D254" i="3" a="1"/>
  <c r="D254" i="3" s="1"/>
  <c r="D255" i="3" a="1"/>
  <c r="D255" i="3" s="1"/>
  <c r="D256" i="3" a="1"/>
  <c r="D256" i="3" s="1"/>
  <c r="D257" i="3" a="1"/>
  <c r="D257" i="3" s="1"/>
  <c r="D258" i="3" a="1"/>
  <c r="D258" i="3" s="1"/>
  <c r="D259" i="3" a="1"/>
  <c r="D259" i="3" s="1"/>
  <c r="D260" i="3" a="1"/>
  <c r="D260" i="3" s="1"/>
  <c r="D261" i="3" a="1"/>
  <c r="D261" i="3" s="1"/>
  <c r="D262" i="3" a="1"/>
  <c r="D262" i="3" s="1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 s="1"/>
  <c r="D270" i="3" a="1"/>
  <c r="D270" i="3" s="1"/>
  <c r="D271" i="3" a="1"/>
  <c r="D271" i="3" s="1"/>
  <c r="D272" i="3" a="1"/>
  <c r="D272" i="3" s="1"/>
  <c r="D273" i="3" a="1"/>
  <c r="D273" i="3" s="1"/>
  <c r="D274" i="3" a="1"/>
  <c r="D274" i="3" s="1"/>
  <c r="D275" i="3" a="1"/>
  <c r="D275" i="3" s="1"/>
  <c r="D276" i="3" a="1"/>
  <c r="D276" i="3" s="1"/>
  <c r="D277" i="3" a="1"/>
  <c r="D277" i="3" s="1"/>
  <c r="D278" i="3" a="1"/>
  <c r="D278" i="3" s="1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 s="1"/>
  <c r="D290" i="3" a="1"/>
  <c r="D290" i="3" s="1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301" i="3" a="1"/>
  <c r="D301" i="3" s="1"/>
  <c r="D302" i="3" a="1"/>
  <c r="D302" i="3" s="1"/>
  <c r="D303" i="3" a="1"/>
  <c r="D303" i="3" s="1"/>
  <c r="D304" i="3" a="1"/>
  <c r="D304" i="3" s="1"/>
  <c r="D305" i="3" a="1"/>
  <c r="D305" i="3" s="1"/>
  <c r="D306" i="3" a="1"/>
  <c r="D306" i="3" s="1"/>
  <c r="D307" i="3" a="1"/>
  <c r="D307" i="3" s="1"/>
  <c r="D308" i="3" a="1"/>
  <c r="D308" i="3" s="1"/>
  <c r="D309" i="3" a="1"/>
  <c r="D309" i="3" s="1"/>
  <c r="D310" i="3" a="1"/>
  <c r="D310" i="3" s="1"/>
  <c r="D311" i="3" a="1"/>
  <c r="D311" i="3" s="1"/>
  <c r="D312" i="3" a="1"/>
  <c r="D312" i="3" s="1"/>
  <c r="D313" i="3" a="1"/>
  <c r="D313" i="3" s="1"/>
  <c r="D314" i="3" a="1"/>
  <c r="D314" i="3" s="1"/>
  <c r="D315" i="3" a="1"/>
  <c r="D315" i="3" s="1"/>
  <c r="D316" i="3" a="1"/>
  <c r="D316" i="3" s="1"/>
  <c r="D317" i="3" a="1"/>
  <c r="D317" i="3" s="1"/>
  <c r="D318" i="3" a="1"/>
  <c r="D318" i="3" s="1"/>
  <c r="D319" i="3" a="1"/>
  <c r="D319" i="3" s="1"/>
  <c r="D320" i="3" a="1"/>
  <c r="D320" i="3" s="1"/>
  <c r="D321" i="3" a="1"/>
  <c r="D321" i="3" s="1"/>
  <c r="D322" i="3" a="1"/>
  <c r="D322" i="3" s="1"/>
  <c r="D323" i="3" a="1"/>
  <c r="D323" i="3" s="1"/>
  <c r="D324" i="3" a="1"/>
  <c r="D324" i="3" s="1"/>
  <c r="D325" i="3" a="1"/>
  <c r="D325" i="3" s="1"/>
  <c r="D326" i="3" a="1"/>
  <c r="D326" i="3" s="1"/>
  <c r="D327" i="3" a="1"/>
  <c r="D327" i="3" s="1"/>
  <c r="D328" i="3" a="1"/>
  <c r="D328" i="3" s="1"/>
  <c r="D329" i="3" a="1"/>
  <c r="D329" i="3" s="1"/>
  <c r="D330" i="3" a="1"/>
  <c r="D330" i="3" s="1"/>
  <c r="D331" i="3" a="1"/>
  <c r="D331" i="3" s="1"/>
  <c r="D332" i="3" a="1"/>
  <c r="D332" i="3" s="1"/>
  <c r="D333" i="3" a="1"/>
  <c r="D333" i="3" s="1"/>
  <c r="D334" i="3" a="1"/>
  <c r="D334" i="3" s="1"/>
  <c r="D335" i="3" a="1"/>
  <c r="D335" i="3" s="1"/>
  <c r="D336" i="3" a="1"/>
  <c r="D336" i="3" s="1"/>
  <c r="D337" i="3" a="1"/>
  <c r="D337" i="3" s="1"/>
  <c r="D338" i="3" a="1"/>
  <c r="D338" i="3" s="1"/>
  <c r="D339" i="3" a="1"/>
  <c r="D339" i="3" s="1"/>
  <c r="D340" i="3" a="1"/>
  <c r="D340" i="3" s="1"/>
  <c r="D341" i="3" a="1"/>
  <c r="D341" i="3" s="1"/>
  <c r="D342" i="3" a="1"/>
  <c r="D342" i="3" s="1"/>
  <c r="D343" i="3" a="1"/>
  <c r="D343" i="3" s="1"/>
  <c r="D344" i="3" a="1"/>
  <c r="D344" i="3" s="1"/>
  <c r="D345" i="3" a="1"/>
  <c r="D345" i="3" s="1"/>
  <c r="D346" i="3" a="1"/>
  <c r="D346" i="3" s="1"/>
  <c r="D347" i="3" a="1"/>
  <c r="D347" i="3" s="1"/>
  <c r="D348" i="3" a="1"/>
  <c r="D348" i="3" s="1"/>
  <c r="D349" i="3" a="1"/>
  <c r="D349" i="3" s="1"/>
  <c r="D350" i="3" a="1"/>
  <c r="D350" i="3" s="1"/>
  <c r="D351" i="3" a="1"/>
  <c r="D351" i="3" s="1"/>
  <c r="D352" i="3" a="1"/>
  <c r="D352" i="3" s="1"/>
  <c r="D353" i="3" a="1"/>
  <c r="D353" i="3" s="1"/>
  <c r="D354" i="3" a="1"/>
  <c r="D354" i="3" s="1"/>
  <c r="D355" i="3" a="1"/>
  <c r="D355" i="3" s="1"/>
  <c r="D356" i="3" a="1"/>
  <c r="D356" i="3" s="1"/>
  <c r="D357" i="3" a="1"/>
  <c r="D357" i="3" s="1"/>
  <c r="D358" i="3" a="1"/>
  <c r="D358" i="3" s="1"/>
  <c r="D359" i="3" a="1"/>
  <c r="D359" i="3" s="1"/>
  <c r="D360" i="3" a="1"/>
  <c r="D360" i="3" s="1"/>
  <c r="D361" i="3" a="1"/>
  <c r="D361" i="3" s="1"/>
  <c r="D362" i="3" a="1"/>
  <c r="D362" i="3" s="1"/>
  <c r="D363" i="3" a="1"/>
  <c r="D363" i="3" s="1"/>
  <c r="D364" i="3" a="1"/>
  <c r="D364" i="3" s="1"/>
  <c r="D365" i="3" a="1"/>
  <c r="D365" i="3" s="1"/>
  <c r="D366" i="3" a="1"/>
  <c r="D366" i="3" s="1"/>
  <c r="D367" i="3" a="1"/>
  <c r="D367" i="3" s="1"/>
  <c r="D368" i="3" a="1"/>
  <c r="D368" i="3" s="1"/>
  <c r="D369" i="3" a="1"/>
  <c r="D369" i="3" s="1"/>
  <c r="D370" i="3" a="1"/>
  <c r="D370" i="3" s="1"/>
  <c r="D371" i="3" a="1"/>
  <c r="D371" i="3" s="1"/>
  <c r="D372" i="3" a="1"/>
  <c r="D372" i="3" s="1"/>
  <c r="D373" i="3" a="1"/>
  <c r="D373" i="3" s="1"/>
  <c r="D374" i="3" a="1"/>
  <c r="D374" i="3" s="1"/>
  <c r="D375" i="3" a="1"/>
  <c r="D375" i="3" s="1"/>
  <c r="D376" i="3" a="1"/>
  <c r="D376" i="3" s="1"/>
  <c r="D377" i="3" a="1"/>
  <c r="D377" i="3" s="1"/>
  <c r="D378" i="3" a="1"/>
  <c r="D378" i="3" s="1"/>
  <c r="D379" i="3" a="1"/>
  <c r="D379" i="3" s="1"/>
  <c r="D380" i="3" a="1"/>
  <c r="D380" i="3" s="1"/>
  <c r="D381" i="3" a="1"/>
  <c r="D381" i="3" s="1"/>
  <c r="D382" i="3" a="1"/>
  <c r="D382" i="3" s="1"/>
  <c r="D383" i="3" a="1"/>
  <c r="D383" i="3" s="1"/>
  <c r="D384" i="3" a="1"/>
  <c r="D384" i="3" s="1"/>
  <c r="D385" i="3" a="1"/>
  <c r="D385" i="3" s="1"/>
  <c r="D386" i="3" a="1"/>
  <c r="D386" i="3" s="1"/>
  <c r="D387" i="3" a="1"/>
  <c r="D387" i="3" s="1"/>
  <c r="D388" i="3" a="1"/>
  <c r="D388" i="3" s="1"/>
  <c r="D389" i="3" a="1"/>
  <c r="D389" i="3" s="1"/>
  <c r="D390" i="3" a="1"/>
  <c r="D390" i="3" s="1"/>
  <c r="D391" i="3" a="1"/>
  <c r="D391" i="3" s="1"/>
  <c r="D392" i="3" a="1"/>
  <c r="D392" i="3" s="1"/>
  <c r="D393" i="3" a="1"/>
  <c r="D393" i="3" s="1"/>
  <c r="D394" i="3" a="1"/>
  <c r="D394" i="3" s="1"/>
  <c r="D395" i="3" a="1"/>
  <c r="D395" i="3" s="1"/>
  <c r="D396" i="3" a="1"/>
  <c r="D396" i="3" s="1"/>
  <c r="D397" i="3" a="1"/>
  <c r="D397" i="3" s="1"/>
  <c r="D398" i="3" a="1"/>
  <c r="D398" i="3" s="1"/>
  <c r="D399" i="3" a="1"/>
  <c r="D399" i="3" s="1"/>
  <c r="D400" i="3" a="1"/>
  <c r="D400" i="3" s="1"/>
  <c r="D401" i="3" a="1"/>
  <c r="D401" i="3" s="1"/>
  <c r="D402" i="3" a="1"/>
  <c r="D402" i="3" s="1"/>
  <c r="D403" i="3" a="1"/>
  <c r="D403" i="3" s="1"/>
  <c r="D404" i="3" a="1"/>
  <c r="D404" i="3" s="1"/>
  <c r="D405" i="3" a="1"/>
  <c r="D405" i="3" s="1"/>
  <c r="D406" i="3" a="1"/>
  <c r="D406" i="3" s="1"/>
  <c r="D407" i="3" a="1"/>
  <c r="D407" i="3" s="1"/>
  <c r="D408" i="3" a="1"/>
  <c r="D408" i="3" s="1"/>
  <c r="D409" i="3" a="1"/>
  <c r="D409" i="3" s="1"/>
  <c r="D410" i="3" a="1"/>
  <c r="D410" i="3" s="1"/>
  <c r="D411" i="3" a="1"/>
  <c r="D411" i="3" s="1"/>
  <c r="D412" i="3" a="1"/>
  <c r="D412" i="3" s="1"/>
  <c r="D413" i="3" a="1"/>
  <c r="D413" i="3" s="1"/>
  <c r="D414" i="3" a="1"/>
  <c r="D414" i="3" s="1"/>
  <c r="D415" i="3" a="1"/>
  <c r="D415" i="3" s="1"/>
  <c r="D416" i="3" a="1"/>
  <c r="D416" i="3" s="1"/>
  <c r="D417" i="3" a="1"/>
  <c r="D417" i="3" s="1"/>
  <c r="D418" i="3" a="1"/>
  <c r="D418" i="3" s="1"/>
  <c r="D419" i="3" a="1"/>
  <c r="D419" i="3" s="1"/>
  <c r="D420" i="3" a="1"/>
  <c r="D420" i="3" s="1"/>
  <c r="D421" i="3" a="1"/>
  <c r="D421" i="3" s="1"/>
  <c r="D422" i="3" a="1"/>
  <c r="D422" i="3" s="1"/>
  <c r="D423" i="3" a="1"/>
  <c r="D423" i="3" s="1"/>
  <c r="D424" i="3" a="1"/>
  <c r="D424" i="3" s="1"/>
  <c r="D425" i="3" a="1"/>
  <c r="D425" i="3" s="1"/>
  <c r="D426" i="3" a="1"/>
  <c r="D426" i="3" s="1"/>
  <c r="D427" i="3" a="1"/>
  <c r="D427" i="3" s="1"/>
  <c r="D428" i="3" a="1"/>
  <c r="D428" i="3" s="1"/>
  <c r="D429" i="3" a="1"/>
  <c r="D429" i="3" s="1"/>
  <c r="D430" i="3" a="1"/>
  <c r="D430" i="3" s="1"/>
  <c r="D431" i="3" a="1"/>
  <c r="D431" i="3" s="1"/>
  <c r="D432" i="3" a="1"/>
  <c r="D432" i="3" s="1"/>
  <c r="D433" i="3" a="1"/>
  <c r="D433" i="3" s="1"/>
  <c r="D434" i="3" a="1"/>
  <c r="D434" i="3" s="1"/>
  <c r="D435" i="3" a="1"/>
  <c r="D435" i="3" s="1"/>
  <c r="D436" i="3" a="1"/>
  <c r="D436" i="3" s="1"/>
  <c r="D437" i="3" a="1"/>
  <c r="D437" i="3" s="1"/>
  <c r="D438" i="3" a="1"/>
  <c r="D438" i="3" s="1"/>
  <c r="D439" i="3" a="1"/>
  <c r="D439" i="3" s="1"/>
  <c r="D440" i="3" a="1"/>
  <c r="D440" i="3" s="1"/>
  <c r="D441" i="3" a="1"/>
  <c r="D441" i="3" s="1"/>
  <c r="D442" i="3" a="1"/>
  <c r="D442" i="3" s="1"/>
  <c r="D443" i="3" a="1"/>
  <c r="D443" i="3" s="1"/>
  <c r="D444" i="3" a="1"/>
  <c r="D444" i="3" s="1"/>
  <c r="D445" i="3" a="1"/>
  <c r="D445" i="3" s="1"/>
  <c r="D446" i="3" a="1"/>
  <c r="D446" i="3" s="1"/>
  <c r="D447" i="3" a="1"/>
  <c r="D447" i="3" s="1"/>
  <c r="D448" i="3" a="1"/>
  <c r="D448" i="3" s="1"/>
  <c r="D449" i="3" a="1"/>
  <c r="D449" i="3" s="1"/>
  <c r="D450" i="3" a="1"/>
  <c r="D450" i="3" s="1"/>
  <c r="D451" i="3" a="1"/>
  <c r="D451" i="3" s="1"/>
  <c r="D452" i="3" a="1"/>
  <c r="D452" i="3" s="1"/>
  <c r="D453" i="3" a="1"/>
  <c r="D453" i="3" s="1"/>
  <c r="D454" i="3" a="1"/>
  <c r="D454" i="3" s="1"/>
  <c r="D455" i="3" a="1"/>
  <c r="D455" i="3" s="1"/>
  <c r="D456" i="3" a="1"/>
  <c r="D456" i="3" s="1"/>
  <c r="D457" i="3" a="1"/>
  <c r="D457" i="3" s="1"/>
  <c r="D458" i="3" a="1"/>
  <c r="D458" i="3" s="1"/>
  <c r="D459" i="3" a="1"/>
  <c r="D459" i="3" s="1"/>
  <c r="D460" i="3" a="1"/>
  <c r="D460" i="3" s="1"/>
  <c r="D461" i="3" a="1"/>
  <c r="D461" i="3" s="1"/>
  <c r="D462" i="3" a="1"/>
  <c r="D462" i="3" s="1"/>
  <c r="D463" i="3" a="1"/>
  <c r="D463" i="3" s="1"/>
  <c r="D464" i="3" a="1"/>
  <c r="D464" i="3" s="1"/>
  <c r="D465" i="3" a="1"/>
  <c r="D465" i="3" s="1"/>
  <c r="D466" i="3" a="1"/>
  <c r="D466" i="3" s="1"/>
  <c r="D467" i="3" a="1"/>
  <c r="D467" i="3" s="1"/>
  <c r="D468" i="3" a="1"/>
  <c r="D468" i="3" s="1"/>
  <c r="D469" i="3" a="1"/>
  <c r="D469" i="3" s="1"/>
  <c r="D470" i="3" a="1"/>
  <c r="D470" i="3" s="1"/>
  <c r="D471" i="3" a="1"/>
  <c r="D471" i="3" s="1"/>
  <c r="D472" i="3" a="1"/>
  <c r="D472" i="3" s="1"/>
  <c r="D473" i="3" a="1"/>
  <c r="D473" i="3" s="1"/>
  <c r="D474" i="3" a="1"/>
  <c r="D474" i="3" s="1"/>
  <c r="D475" i="3" a="1"/>
  <c r="D475" i="3" s="1"/>
  <c r="D476" i="3" a="1"/>
  <c r="D476" i="3" s="1"/>
  <c r="D477" i="3" a="1"/>
  <c r="D477" i="3" s="1"/>
  <c r="D478" i="3" a="1"/>
  <c r="D478" i="3" s="1"/>
  <c r="D479" i="3" a="1"/>
  <c r="D479" i="3" s="1"/>
  <c r="D480" i="3" a="1"/>
  <c r="D480" i="3" s="1"/>
  <c r="D481" i="3" a="1"/>
  <c r="D481" i="3" s="1"/>
  <c r="D482" i="3" a="1"/>
  <c r="D482" i="3" s="1"/>
  <c r="D483" i="3" a="1"/>
  <c r="D483" i="3" s="1"/>
  <c r="D484" i="3" a="1"/>
  <c r="D484" i="3" s="1"/>
  <c r="D485" i="3" a="1"/>
  <c r="D485" i="3" s="1"/>
  <c r="D486" i="3" a="1"/>
  <c r="D486" i="3" s="1"/>
  <c r="D487" i="3" a="1"/>
  <c r="D487" i="3" s="1"/>
  <c r="D488" i="3" a="1"/>
  <c r="D488" i="3" s="1"/>
  <c r="D489" i="3" a="1"/>
  <c r="D489" i="3" s="1"/>
  <c r="D490" i="3" a="1"/>
  <c r="D490" i="3" s="1"/>
  <c r="D491" i="3" a="1"/>
  <c r="D491" i="3" s="1"/>
  <c r="D492" i="3" a="1"/>
  <c r="D492" i="3" s="1"/>
  <c r="D493" i="3" a="1"/>
  <c r="D493" i="3" s="1"/>
  <c r="D494" i="3" a="1"/>
  <c r="D494" i="3" s="1"/>
  <c r="D495" i="3" a="1"/>
  <c r="D495" i="3" s="1"/>
  <c r="D496" i="3" a="1"/>
  <c r="D496" i="3" s="1"/>
  <c r="D497" i="3" a="1"/>
  <c r="D497" i="3" s="1"/>
  <c r="D498" i="3" a="1"/>
  <c r="D498" i="3" s="1"/>
  <c r="D499" i="3" a="1"/>
  <c r="D499" i="3" s="1"/>
  <c r="D500" i="3" a="1"/>
  <c r="D500" i="3" s="1"/>
  <c r="D501" i="3" a="1"/>
  <c r="D501" i="3" s="1"/>
  <c r="D502" i="3" a="1"/>
  <c r="D502" i="3" s="1"/>
  <c r="D503" i="3" a="1"/>
  <c r="D503" i="3" s="1"/>
  <c r="D504" i="3" a="1"/>
  <c r="D504" i="3" s="1"/>
  <c r="D505" i="3" a="1"/>
  <c r="D505" i="3" s="1"/>
  <c r="D506" i="3" a="1"/>
  <c r="D506" i="3" s="1"/>
  <c r="D507" i="3" a="1"/>
  <c r="D507" i="3" s="1"/>
  <c r="D508" i="3" a="1"/>
  <c r="D508" i="3" s="1"/>
  <c r="D509" i="3" a="1"/>
  <c r="D509" i="3" s="1"/>
  <c r="D510" i="3" a="1"/>
  <c r="D510" i="3" s="1"/>
  <c r="D511" i="3" a="1"/>
  <c r="D511" i="3" s="1"/>
  <c r="D512" i="3" a="1"/>
  <c r="D512" i="3" s="1"/>
  <c r="D513" i="3" a="1"/>
  <c r="D513" i="3" s="1"/>
  <c r="D514" i="3" a="1"/>
  <c r="D514" i="3" s="1"/>
  <c r="D515" i="3" a="1"/>
  <c r="D515" i="3" s="1"/>
  <c r="D516" i="3" a="1"/>
  <c r="D516" i="3" s="1"/>
  <c r="D517" i="3" a="1"/>
  <c r="D517" i="3" s="1"/>
  <c r="D518" i="3" a="1"/>
  <c r="D51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<sst xmlns="http://schemas.openxmlformats.org/spreadsheetml/2006/main" count="3275" uniqueCount="1253">
  <si>
    <t>WP_010965388.1</t>
  </si>
  <si>
    <t>protein</t>
  </si>
  <si>
    <t>ADC48381.1</t>
  </si>
  <si>
    <t>AAO36131.1</t>
  </si>
  <si>
    <t>AAS43162.1</t>
  </si>
  <si>
    <t>AAU41483.1</t>
  </si>
  <si>
    <t>SpoIIIAF</t>
  </si>
  <si>
    <t>CAB14369.1</t>
  </si>
  <si>
    <t>BAD76688.1</t>
  </si>
  <si>
    <t>BAD65008.1</t>
  </si>
  <si>
    <t>BAD40842.1</t>
  </si>
  <si>
    <t>BAB06511.1</t>
  </si>
  <si>
    <t>BAC13845.1</t>
  </si>
  <si>
    <t>ABY94748.1</t>
  </si>
  <si>
    <t>hypothetical</t>
  </si>
  <si>
    <t>ACB85282.1</t>
  </si>
  <si>
    <t>ACL69379.1</t>
  </si>
  <si>
    <t>ACL21529.1</t>
  </si>
  <si>
    <t>EEG78332.1</t>
  </si>
  <si>
    <t>EGO63622.1</t>
  </si>
  <si>
    <t>GAK39905.1</t>
  </si>
  <si>
    <t>AJH79882.1</t>
  </si>
  <si>
    <t>ALU37542.1</t>
  </si>
  <si>
    <t>BAS28432.1</t>
  </si>
  <si>
    <t>APC08740.1</t>
  </si>
  <si>
    <t>OWZ84026.1</t>
  </si>
  <si>
    <t>ATO50947.1</t>
  </si>
  <si>
    <t>AUO18622.1</t>
  </si>
  <si>
    <t>QAT61770.1</t>
  </si>
  <si>
    <t>QNO16149.1</t>
  </si>
  <si>
    <t>UMZ73958.1</t>
  </si>
  <si>
    <t>UNC92552.1</t>
  </si>
  <si>
    <t>MCQ4635889.1</t>
  </si>
  <si>
    <t>SHJ67143.1</t>
  </si>
  <si>
    <t>WP_010166288.1</t>
  </si>
  <si>
    <t>WP_061948747.1</t>
  </si>
  <si>
    <t>WP_010965386.1</t>
  </si>
  <si>
    <t>WP_004799392.1</t>
  </si>
  <si>
    <t>WP_008789692.1</t>
  </si>
  <si>
    <t>WP_008404261.1</t>
  </si>
  <si>
    <t>WP_008179871.1</t>
  </si>
  <si>
    <t>WP_041075074.1</t>
  </si>
  <si>
    <t>WP_041139296.1</t>
  </si>
  <si>
    <t>WP_053416284.1</t>
  </si>
  <si>
    <t>WP_067209902.1</t>
  </si>
  <si>
    <t>WP_029054557.1</t>
  </si>
  <si>
    <t>WP_096550966.1</t>
  </si>
  <si>
    <t>WP_102691387.1</t>
  </si>
  <si>
    <t>WP_024361187.1</t>
  </si>
  <si>
    <t>WP_066163660.1</t>
  </si>
  <si>
    <t>WP_006059104.1</t>
  </si>
  <si>
    <t>WP_134209598.1</t>
  </si>
  <si>
    <t>WP_066786653.1</t>
  </si>
  <si>
    <t>WP_144536010.1</t>
  </si>
  <si>
    <t>WP_151700324.1</t>
  </si>
  <si>
    <t>WP_002609025.1</t>
  </si>
  <si>
    <t>WP_158546477.1</t>
  </si>
  <si>
    <t>WP_008688524.1</t>
  </si>
  <si>
    <t>WP_004609799.1</t>
  </si>
  <si>
    <t>WP_092051140.1</t>
  </si>
  <si>
    <t>WP_076757704.1</t>
  </si>
  <si>
    <t>WP_003538299.1</t>
  </si>
  <si>
    <t>ADC48379.1</t>
  </si>
  <si>
    <t>AAS43160.1</t>
  </si>
  <si>
    <t>AAU41481.1</t>
  </si>
  <si>
    <t>SpoIIIAH</t>
  </si>
  <si>
    <t>CAB14367.2</t>
  </si>
  <si>
    <t>BAD76686.1</t>
  </si>
  <si>
    <t>BAD65006.1</t>
  </si>
  <si>
    <t>BAD40840.1</t>
  </si>
  <si>
    <t>BAB06509.1</t>
  </si>
  <si>
    <t>BAC13843.1</t>
  </si>
  <si>
    <t>ABY94750.1</t>
  </si>
  <si>
    <t>ACB85280.1</t>
  </si>
  <si>
    <t>ACL69381.1</t>
  </si>
  <si>
    <t>ACL21527.1</t>
  </si>
  <si>
    <t>EEG78330.1</t>
  </si>
  <si>
    <t>EGO63624.1</t>
  </si>
  <si>
    <t>KGA97905.1</t>
  </si>
  <si>
    <t>GAK39907.1</t>
  </si>
  <si>
    <t>AJH78695.1</t>
  </si>
  <si>
    <t>ALU37544.1</t>
  </si>
  <si>
    <t>APC08738.1</t>
  </si>
  <si>
    <t>OWZ84024.1</t>
  </si>
  <si>
    <t>ATO50949.1</t>
  </si>
  <si>
    <t>AUO18620.1</t>
  </si>
  <si>
    <t>QAT61768.1</t>
  </si>
  <si>
    <t>QJS20168.1</t>
  </si>
  <si>
    <t>QNO16151.1</t>
  </si>
  <si>
    <t>UMZ73956.1</t>
  </si>
  <si>
    <t>UNC92550.1</t>
  </si>
  <si>
    <t>MCQ4635887.1</t>
  </si>
  <si>
    <t>SHJ67084.1</t>
  </si>
  <si>
    <t>WP_010166290.1</t>
  </si>
  <si>
    <t>WP_061948745.1</t>
  </si>
  <si>
    <t>WP_010965387.1</t>
  </si>
  <si>
    <t>WP_008404262.1</t>
  </si>
  <si>
    <t>WP_008179869.1</t>
  </si>
  <si>
    <t>WP_053416285.1</t>
  </si>
  <si>
    <t>WP_067209905.1</t>
  </si>
  <si>
    <t>WP_102691386.1</t>
  </si>
  <si>
    <t>WP_024361188.1</t>
  </si>
  <si>
    <t>WP_066163661.1</t>
  </si>
  <si>
    <t>WP_017380071.1</t>
  </si>
  <si>
    <t>WP_147193618.1</t>
  </si>
  <si>
    <t>WP_144536008.1</t>
  </si>
  <si>
    <t>ADC48380.1</t>
  </si>
  <si>
    <t>AAO36130.1</t>
  </si>
  <si>
    <t>AAS43161.1</t>
  </si>
  <si>
    <t>AAU41482.1</t>
  </si>
  <si>
    <t>SpoIIIAG</t>
  </si>
  <si>
    <t>CAB14368.2</t>
  </si>
  <si>
    <t>BAD76687.1</t>
  </si>
  <si>
    <t>BAD65007.1</t>
  </si>
  <si>
    <t>BAD40841.1</t>
  </si>
  <si>
    <t>BAB06510.1</t>
  </si>
  <si>
    <t>BAC13844.1</t>
  </si>
  <si>
    <t>ABY94749.1</t>
  </si>
  <si>
    <t>ACB85281.1</t>
  </si>
  <si>
    <t>ACL69380.1</t>
  </si>
  <si>
    <t>Sporulation</t>
  </si>
  <si>
    <t>ACL21528.1</t>
  </si>
  <si>
    <t>ADL42805.1</t>
  </si>
  <si>
    <t>EEG78331.1</t>
  </si>
  <si>
    <t>BAI85956.1</t>
  </si>
  <si>
    <t>EGO63623.1</t>
  </si>
  <si>
    <t>KGA97906.1</t>
  </si>
  <si>
    <t>GAK39906.1</t>
  </si>
  <si>
    <t>AJH78041.1</t>
  </si>
  <si>
    <t>ALU37543.1</t>
  </si>
  <si>
    <t>BAS28431.1</t>
  </si>
  <si>
    <t>APC08739.1</t>
  </si>
  <si>
    <t>OWZ84025.1</t>
  </si>
  <si>
    <t>ATO50948.1</t>
  </si>
  <si>
    <t>AUO18621.1</t>
  </si>
  <si>
    <t>QAT61769.1</t>
  </si>
  <si>
    <t>QNO16150.1</t>
  </si>
  <si>
    <t>UMZ73957.1</t>
  </si>
  <si>
    <t>UNC92551.1</t>
  </si>
  <si>
    <t>MCQ4635888.1</t>
  </si>
  <si>
    <t>SHJ67115.1</t>
  </si>
  <si>
    <t>WP_010166289.1</t>
  </si>
  <si>
    <t>WP_061948746.1</t>
  </si>
  <si>
    <t>WP_010965461.1</t>
  </si>
  <si>
    <t>FliF</t>
  </si>
  <si>
    <t>WP_036123974.1</t>
  </si>
  <si>
    <t>WP_041074053.1</t>
  </si>
  <si>
    <t>WP_053417471.1</t>
  </si>
  <si>
    <t>WP_067211250.1</t>
  </si>
  <si>
    <t>WP_096550656.1</t>
  </si>
  <si>
    <t>WP_105928922.1</t>
  </si>
  <si>
    <t>WP_066170015.1</t>
  </si>
  <si>
    <t>WP_151110558.1</t>
  </si>
  <si>
    <t>WP_151699469.1</t>
  </si>
  <si>
    <t>ADC48108.1</t>
  </si>
  <si>
    <t>MS-ring</t>
  </si>
  <si>
    <t>AAC75005.1</t>
  </si>
  <si>
    <t>AAG04490.1</t>
  </si>
  <si>
    <t>M-ring</t>
  </si>
  <si>
    <t>AAG05112.1</t>
  </si>
  <si>
    <t>AAL20333.1</t>
  </si>
  <si>
    <t>AAL20881.1</t>
  </si>
  <si>
    <t>AAL21751.1</t>
  </si>
  <si>
    <t>CAC45218.1</t>
  </si>
  <si>
    <t>Flagellar</t>
  </si>
  <si>
    <t>AAM40531.1</t>
  </si>
  <si>
    <t>HrcJ</t>
  </si>
  <si>
    <t>AAM41215.1</t>
  </si>
  <si>
    <t>AAP98786.1</t>
  </si>
  <si>
    <t>AAM67637.1</t>
  </si>
  <si>
    <t>AAO68586.1</t>
  </si>
  <si>
    <t>AAO68929.1</t>
  </si>
  <si>
    <t>AAO70334.1</t>
  </si>
  <si>
    <t>AAO36212.1</t>
  </si>
  <si>
    <t>AAS69992.1</t>
  </si>
  <si>
    <t>AAQ60092.1</t>
  </si>
  <si>
    <t>AAQ60258.1</t>
  </si>
  <si>
    <t>AAQ60668.1</t>
  </si>
  <si>
    <t>AAQ60803.1</t>
  </si>
  <si>
    <t>AAR33742.1</t>
  </si>
  <si>
    <t>AAS40694.1</t>
  </si>
  <si>
    <t>AAU40736.1</t>
  </si>
  <si>
    <t>AAV82040.1</t>
  </si>
  <si>
    <t>AAD35313.1</t>
  </si>
  <si>
    <t>AAC07196.1</t>
  </si>
  <si>
    <t>AAC68161.1</t>
  </si>
  <si>
    <t>CAB13494.1</t>
  </si>
  <si>
    <t>CAL34469.1</t>
  </si>
  <si>
    <t>BAB12793.1</t>
  </si>
  <si>
    <t>BAC95245.1</t>
  </si>
  <si>
    <t>BAD75504.1</t>
  </si>
  <si>
    <t>BAD64804.1</t>
  </si>
  <si>
    <t>BAD41986.1</t>
  </si>
  <si>
    <t>BAE49307.1</t>
  </si>
  <si>
    <t>BAH37373.1</t>
  </si>
  <si>
    <t>BAH77996.1</t>
  </si>
  <si>
    <t>BAB06177.1</t>
  </si>
  <si>
    <t>ACM01227.1</t>
  </si>
  <si>
    <t>BAC13511.1</t>
  </si>
  <si>
    <t>CAH34218.1</t>
  </si>
  <si>
    <t>CAH38872.1</t>
  </si>
  <si>
    <t>CAH39023.1</t>
  </si>
  <si>
    <t>CAH39099.1</t>
  </si>
  <si>
    <t>AAU45852.1</t>
  </si>
  <si>
    <t>AAU48881.1</t>
  </si>
  <si>
    <t>AAY36249.1</t>
  </si>
  <si>
    <t>YscJ/HrcJ</t>
  </si>
  <si>
    <t>AAY38489.1</t>
  </si>
  <si>
    <t>AAZ28086.1</t>
  </si>
  <si>
    <t>ABC34129.1</t>
  </si>
  <si>
    <t>ABC34345.1</t>
  </si>
  <si>
    <t>ABC36024.1</t>
  </si>
  <si>
    <t>ABC37528.1</t>
  </si>
  <si>
    <t>ABF88125.1</t>
  </si>
  <si>
    <t>ABF88690.1</t>
  </si>
  <si>
    <t>ABA03866.1</t>
  </si>
  <si>
    <t>AAZ97041.1</t>
  </si>
  <si>
    <t>AAZ97553.1</t>
  </si>
  <si>
    <t>ABA58817.1</t>
  </si>
  <si>
    <t>ABA88441.1</t>
  </si>
  <si>
    <t>ABI78744.1</t>
  </si>
  <si>
    <t>ABC45369.1</t>
  </si>
  <si>
    <t>ABC76851.1</t>
  </si>
  <si>
    <t>ABD81448.1</t>
  </si>
  <si>
    <t>ABE50245.1</t>
  </si>
  <si>
    <t>ABI59015.1</t>
  </si>
  <si>
    <t>ABK42796.1</t>
  </si>
  <si>
    <t>ABM19078.1</t>
  </si>
  <si>
    <t>ABQ62358.1</t>
  </si>
  <si>
    <t>ABS63798.1</t>
  </si>
  <si>
    <t>ABZ96871.1</t>
  </si>
  <si>
    <t>ABV34690.1</t>
  </si>
  <si>
    <t>ABV37670.1</t>
  </si>
  <si>
    <t>ACM22640.1</t>
  </si>
  <si>
    <t>ABY94911.1</t>
  </si>
  <si>
    <t>ABY99820.1</t>
  </si>
  <si>
    <t>ACB73714.1</t>
  </si>
  <si>
    <t>ACB84974.1</t>
  </si>
  <si>
    <t>ACN16787.1</t>
  </si>
  <si>
    <t>ACL70438.1</t>
  </si>
  <si>
    <t>ACH40830.1</t>
  </si>
  <si>
    <t>ACI21849.1</t>
  </si>
  <si>
    <t>ACM93021.1</t>
  </si>
  <si>
    <t>ACL22158.1</t>
  </si>
  <si>
    <t>ACL73050.1</t>
  </si>
  <si>
    <t>ACL94415.1</t>
  </si>
  <si>
    <t>ACL64098.1</t>
  </si>
  <si>
    <t>ACL65896.1</t>
  </si>
  <si>
    <t>ACO32668.1</t>
  </si>
  <si>
    <t>ACT13236.1</t>
  </si>
  <si>
    <t>ACT13606.1</t>
  </si>
  <si>
    <t>ACT47836.1</t>
  </si>
  <si>
    <t>ACV75177.1</t>
  </si>
  <si>
    <t>ACV67866.1</t>
  </si>
  <si>
    <t>ADE39075.1</t>
  </si>
  <si>
    <t>ACZ19568.1</t>
  </si>
  <si>
    <t>ADC89287.1</t>
  </si>
  <si>
    <t>ADE10838.1</t>
  </si>
  <si>
    <t>ADD69076.1</t>
  </si>
  <si>
    <t>CAG37385.1</t>
  </si>
  <si>
    <t>CBG33087.1</t>
  </si>
  <si>
    <t>CBG35883.1</t>
  </si>
  <si>
    <t>CBJ46171.1</t>
  </si>
  <si>
    <t>CBJ46227.1</t>
  </si>
  <si>
    <t>CBJ47254.1</t>
  </si>
  <si>
    <t>CBJ47346.1</t>
  </si>
  <si>
    <t>CBJ47559.1</t>
  </si>
  <si>
    <t>CAQ71857.1</t>
  </si>
  <si>
    <t>CAQ72721.1</t>
  </si>
  <si>
    <t>CAJ49324.1</t>
  </si>
  <si>
    <t>BAJ01403.1</t>
  </si>
  <si>
    <t>BAJ02212.1</t>
  </si>
  <si>
    <t>AAK86337.1</t>
  </si>
  <si>
    <t>ADG94151.1</t>
  </si>
  <si>
    <t>ADL02120.1</t>
  </si>
  <si>
    <t>ADL43221.1</t>
  </si>
  <si>
    <t>AAN56227.2</t>
  </si>
  <si>
    <t>ADN09694.1</t>
  </si>
  <si>
    <t>EAP94048.1</t>
  </si>
  <si>
    <t>EAR29538.1</t>
  </si>
  <si>
    <t>EAS77065.1</t>
  </si>
  <si>
    <t>EAS77894.1</t>
  </si>
  <si>
    <t>EAS78287.1</t>
  </si>
  <si>
    <t>AGI74751.1</t>
  </si>
  <si>
    <t>ADO70830.1</t>
  </si>
  <si>
    <t>ADO74089.1</t>
  </si>
  <si>
    <t>ADP98090.1</t>
  </si>
  <si>
    <t>EEQ09431.1</t>
  </si>
  <si>
    <t>EEQ11004.1</t>
  </si>
  <si>
    <t>EEQ11873.1</t>
  </si>
  <si>
    <t>EDR30632.1</t>
  </si>
  <si>
    <t>EDR31677.1</t>
  </si>
  <si>
    <t>EDR31898.1</t>
  </si>
  <si>
    <t>EDR34178.1</t>
  </si>
  <si>
    <t>EED69689.1</t>
  </si>
  <si>
    <t>AFS36517.1</t>
  </si>
  <si>
    <t>EEG76529.1</t>
  </si>
  <si>
    <t>EEW07867.1</t>
  </si>
  <si>
    <t>EDL51980.1</t>
  </si>
  <si>
    <t>EDL53309.1</t>
  </si>
  <si>
    <t>EGW20512.1</t>
  </si>
  <si>
    <t>ADZ90362.1</t>
  </si>
  <si>
    <t>ADZ92454.1</t>
  </si>
  <si>
    <t>AAS94345.1</t>
  </si>
  <si>
    <t>AAS94796.1</t>
  </si>
  <si>
    <t>BAC59953.1</t>
  </si>
  <si>
    <t>BAC60512.1</t>
  </si>
  <si>
    <t>BAC62879.1</t>
  </si>
  <si>
    <t>CAE11001.1</t>
  </si>
  <si>
    <t>CAG18477.1</t>
  </si>
  <si>
    <t>GAA06088.1</t>
  </si>
  <si>
    <t>EGI75820.1</t>
  </si>
  <si>
    <t>EGO63145.1</t>
  </si>
  <si>
    <t>AEI88715.1</t>
  </si>
  <si>
    <t>AEO47029.1</t>
  </si>
  <si>
    <t>AEP09101.1</t>
  </si>
  <si>
    <t>AEP30462.1</t>
  </si>
  <si>
    <t>EHJ04466.1</t>
  </si>
  <si>
    <t>EHM37691.1</t>
  </si>
  <si>
    <t>EHM41863.1</t>
  </si>
  <si>
    <t>EHR42289.1</t>
  </si>
  <si>
    <t>AFA40924.1</t>
  </si>
  <si>
    <t>CCB85093.1</t>
  </si>
  <si>
    <t>CCB86648.1</t>
  </si>
  <si>
    <t>AFE09625.1</t>
  </si>
  <si>
    <t>AFE11130.1</t>
  </si>
  <si>
    <t>AFL88119.1</t>
  </si>
  <si>
    <t>BAK64968.1</t>
  </si>
  <si>
    <t>BAM05992.1</t>
  </si>
  <si>
    <t>BAL07685.1</t>
  </si>
  <si>
    <t>BAL07813.1</t>
  </si>
  <si>
    <t>BAL13256.1</t>
  </si>
  <si>
    <t>CCG94784.1</t>
  </si>
  <si>
    <t>AGG29087.1</t>
  </si>
  <si>
    <t>AGG30848.1</t>
  </si>
  <si>
    <t>KGA98254.1</t>
  </si>
  <si>
    <t>AFV41573.1</t>
  </si>
  <si>
    <t>EKT86534.2</t>
  </si>
  <si>
    <t>GAC24878.1</t>
  </si>
  <si>
    <t>CCJ72125.1</t>
  </si>
  <si>
    <t>AGC49958.1</t>
  </si>
  <si>
    <t>AGC50281.1</t>
  </si>
  <si>
    <t>AGC50595.1</t>
  </si>
  <si>
    <t>CCQ09730.1</t>
  </si>
  <si>
    <t>AGH75953.1</t>
  </si>
  <si>
    <t>AGH77446.1</t>
  </si>
  <si>
    <t>AGH96362.1</t>
  </si>
  <si>
    <t>CCW35059.1</t>
  </si>
  <si>
    <t>AGW38362.1</t>
  </si>
  <si>
    <t>EPE37900.1</t>
  </si>
  <si>
    <t>USF24605.1</t>
  </si>
  <si>
    <t>CDL00846.1</t>
  </si>
  <si>
    <t>AHF75271.1</t>
  </si>
  <si>
    <t>AHF75698.1</t>
  </si>
  <si>
    <t>AHF75751.1</t>
  </si>
  <si>
    <t>AHF76786.1</t>
  </si>
  <si>
    <t>AHF78198.1</t>
  </si>
  <si>
    <t>AHK70359.1</t>
  </si>
  <si>
    <t>AHZ83763.1</t>
  </si>
  <si>
    <t>AMW03991.1</t>
  </si>
  <si>
    <t>KFD13219.1</t>
  </si>
  <si>
    <t>AIK96528.1</t>
  </si>
  <si>
    <t>KGA70546.1</t>
  </si>
  <si>
    <t>KGA70881.1</t>
  </si>
  <si>
    <t>AIQ89829.1</t>
  </si>
  <si>
    <t>AIQ93517.1</t>
  </si>
  <si>
    <t>KGT89716.1</t>
  </si>
  <si>
    <t>KGT90628.1</t>
  </si>
  <si>
    <t>KGT90338.1</t>
  </si>
  <si>
    <t>KGT93339.1</t>
  </si>
  <si>
    <t>KGT96016.1</t>
  </si>
  <si>
    <t>AJH77759.1</t>
  </si>
  <si>
    <t>AJJ53162.1</t>
  </si>
  <si>
    <t>AJJ55407.1</t>
  </si>
  <si>
    <t>AJJ56339.1</t>
  </si>
  <si>
    <t>AJJ56869.1</t>
  </si>
  <si>
    <t>KIU35189.1</t>
  </si>
  <si>
    <t>KLP54135.1</t>
  </si>
  <si>
    <t>KLP57552.1</t>
  </si>
  <si>
    <t>KLP57631.1</t>
  </si>
  <si>
    <t>KLR25735.1</t>
  </si>
  <si>
    <t>KLR25813.1</t>
  </si>
  <si>
    <t>CNJ95907.1</t>
  </si>
  <si>
    <t>CNK27696.1</t>
  </si>
  <si>
    <t>CNK30620.1</t>
  </si>
  <si>
    <t>CNK97303.1</t>
  </si>
  <si>
    <t>ALA58335.1</t>
  </si>
  <si>
    <t>KOQ95285.1</t>
  </si>
  <si>
    <t>KOR03871.1</t>
  </si>
  <si>
    <t>ALF48087.1</t>
  </si>
  <si>
    <t>ALJ56903.1</t>
  </si>
  <si>
    <t>Nodulation</t>
  </si>
  <si>
    <t>CFQ36177.1</t>
  </si>
  <si>
    <t>CFQ36607.1</t>
  </si>
  <si>
    <t>CFQ38428.1</t>
  </si>
  <si>
    <t>CFQ44276.1</t>
  </si>
  <si>
    <t>KTS01305.1</t>
  </si>
  <si>
    <t>KTS01388.1</t>
  </si>
  <si>
    <t>ALU37457.1</t>
  </si>
  <si>
    <t>BAS27497.1</t>
  </si>
  <si>
    <t>AMO79802.1</t>
  </si>
  <si>
    <t>AMO80234.1</t>
  </si>
  <si>
    <t>AMO83542.1</t>
  </si>
  <si>
    <t>AOM39532.1</t>
  </si>
  <si>
    <t>AOO64056.1</t>
  </si>
  <si>
    <t>AOU49298.1</t>
  </si>
  <si>
    <t>APC07891.1</t>
  </si>
  <si>
    <t>APW41625.1</t>
  </si>
  <si>
    <t>ORN01972.1</t>
  </si>
  <si>
    <t>ORN02599.1</t>
  </si>
  <si>
    <t>OSS41621.1</t>
  </si>
  <si>
    <t>ARU40258.1</t>
  </si>
  <si>
    <t>ARU98306.1</t>
  </si>
  <si>
    <t>OWF82533.1</t>
  </si>
  <si>
    <t>OWZ84225.1</t>
  </si>
  <si>
    <t>PAN71491.1</t>
  </si>
  <si>
    <t>ATC63675.1</t>
  </si>
  <si>
    <t>ATO47958.1</t>
  </si>
  <si>
    <t>ATU63999.1</t>
  </si>
  <si>
    <t>ATU65453.1</t>
  </si>
  <si>
    <t>ATU65965.1</t>
  </si>
  <si>
    <t>ATU66744.1</t>
  </si>
  <si>
    <t>ATU68245.1</t>
  </si>
  <si>
    <t>ATX78584.1</t>
  </si>
  <si>
    <t>ATX82919.1</t>
  </si>
  <si>
    <t>POT54770.1</t>
  </si>
  <si>
    <t>POT58671.1</t>
  </si>
  <si>
    <t>POT59441.1</t>
  </si>
  <si>
    <t>POT59516.1</t>
  </si>
  <si>
    <t>AVM88570.1</t>
  </si>
  <si>
    <t>AVQ87012.1</t>
  </si>
  <si>
    <t>AVQ87711.1</t>
  </si>
  <si>
    <t>AWV88425.1</t>
  </si>
  <si>
    <t>RJP61224.1</t>
  </si>
  <si>
    <t>RPH21571.1</t>
  </si>
  <si>
    <t>RPH26529.1</t>
  </si>
  <si>
    <t>RPH29466.1</t>
  </si>
  <si>
    <t>QAR34056.1</t>
  </si>
  <si>
    <t>QAT61603.1</t>
  </si>
  <si>
    <t>RYJ12351.1</t>
  </si>
  <si>
    <t>RYJ18890.1</t>
  </si>
  <si>
    <t>TCV95562.1</t>
  </si>
  <si>
    <t>TCV96683.1</t>
  </si>
  <si>
    <t>TCZ23478.1</t>
  </si>
  <si>
    <t>TCZ24216.1</t>
  </si>
  <si>
    <t>QBZ83471.1</t>
  </si>
  <si>
    <t>QCG47620.1</t>
  </si>
  <si>
    <t>QCG50116.1</t>
  </si>
  <si>
    <t>QEI19385.1</t>
  </si>
  <si>
    <t>QFG03467.1</t>
  </si>
  <si>
    <t>QJR36449.1</t>
  </si>
  <si>
    <t>QKS28391.1</t>
  </si>
  <si>
    <t>QKY95006.1</t>
  </si>
  <si>
    <t>QKY95803.1</t>
  </si>
  <si>
    <t>QNO16415.1</t>
  </si>
  <si>
    <t>QNQ09320.1</t>
  </si>
  <si>
    <t>GHD90383.1</t>
  </si>
  <si>
    <t>GHD93363.1</t>
  </si>
  <si>
    <t>BCB96474.1</t>
  </si>
  <si>
    <t>QOY88876.1</t>
  </si>
  <si>
    <t>QOY89262.1</t>
  </si>
  <si>
    <t>QQS05733.1</t>
  </si>
  <si>
    <t>QTD51128.1</t>
  </si>
  <si>
    <t>QUV80670.1</t>
  </si>
  <si>
    <t>MBU2985848.1</t>
  </si>
  <si>
    <t>QXB11719.1</t>
  </si>
  <si>
    <t>UBQ04382.1</t>
  </si>
  <si>
    <t>UMZ73356.1</t>
  </si>
  <si>
    <t>UNC91743.1</t>
  </si>
  <si>
    <t>UXK10552.1</t>
  </si>
  <si>
    <t>SHK75940.1</t>
  </si>
  <si>
    <t>SHJ59096.1</t>
  </si>
  <si>
    <t>WP_235858067.1</t>
  </si>
  <si>
    <t>WP_010167540.1</t>
  </si>
  <si>
    <t>WP_010167646.1</t>
  </si>
  <si>
    <t>WP_015870333.1</t>
  </si>
  <si>
    <t>WP_015871707.1</t>
  </si>
  <si>
    <t>WP_011366492.1</t>
  </si>
  <si>
    <t>WP_045479451.1</t>
  </si>
  <si>
    <t>WP_084977082.1</t>
  </si>
  <si>
    <t>WP_084977171.1</t>
  </si>
  <si>
    <t>WP_014824491.1</t>
  </si>
  <si>
    <t>WP_147194154.1</t>
  </si>
  <si>
    <t>BAC62710.1</t>
  </si>
  <si>
    <t>QEO41070.1</t>
  </si>
  <si>
    <t>WP_029053211.1</t>
  </si>
  <si>
    <t>WP_102692667.1</t>
  </si>
  <si>
    <t>AAF95278.1</t>
  </si>
  <si>
    <t>AAS11733.1</t>
  </si>
  <si>
    <t>AAC65387.1</t>
  </si>
  <si>
    <t>AAC68314.1</t>
  </si>
  <si>
    <t>M-Ring</t>
  </si>
  <si>
    <t>ACM02572.1</t>
  </si>
  <si>
    <t>AAW86347.1</t>
  </si>
  <si>
    <t>ABK38602.1</t>
  </si>
  <si>
    <t>ACK75069.1</t>
  </si>
  <si>
    <t>ADE87206.1</t>
  </si>
  <si>
    <t>ADB18987.1</t>
  </si>
  <si>
    <t>ADY60058.1</t>
  </si>
  <si>
    <t>EEW06433.1</t>
  </si>
  <si>
    <t>EDL55015.1</t>
  </si>
  <si>
    <t>CAD75367.1</t>
  </si>
  <si>
    <t>CAG19334.1</t>
  </si>
  <si>
    <t>BAI85247.1</t>
  </si>
  <si>
    <t>BAI85248.2</t>
  </si>
  <si>
    <t>GAA03515.1</t>
  </si>
  <si>
    <t>AEM21723.1</t>
  </si>
  <si>
    <t>EKB19994.1</t>
  </si>
  <si>
    <t>CCG56442.1</t>
  </si>
  <si>
    <t>GAK38512.1</t>
  </si>
  <si>
    <t>ATP10457.1</t>
  </si>
  <si>
    <t>AVM87899.1</t>
  </si>
  <si>
    <t>UPH48282.1</t>
  </si>
  <si>
    <t>QCG47664.1</t>
  </si>
  <si>
    <t>QDU26973.1</t>
  </si>
  <si>
    <t>QDU93976.1</t>
  </si>
  <si>
    <t>QEO40727.1</t>
  </si>
  <si>
    <t>QTD52029.1</t>
  </si>
  <si>
    <t>SCA58853.1</t>
  </si>
  <si>
    <t>WP_014824101.1</t>
  </si>
  <si>
    <t>ATPase</t>
  </si>
  <si>
    <t>WP_371830858.1</t>
  </si>
  <si>
    <t>WP_151698803.1</t>
  </si>
  <si>
    <t>WP_076758937.1</t>
  </si>
  <si>
    <t>AAP98818.1</t>
  </si>
  <si>
    <t>AAO82557.1</t>
  </si>
  <si>
    <t>AGW38334.1</t>
  </si>
  <si>
    <t>GAK40209.1</t>
  </si>
  <si>
    <t>UPH47978.1</t>
  </si>
  <si>
    <t>QJS18567.1</t>
  </si>
  <si>
    <t>SQE55453.1</t>
  </si>
  <si>
    <t>PKPEBJJI_00693 hypothetical protein.</t>
  </si>
  <si>
    <t/>
  </si>
  <si>
    <t xml:space="preserve">MULTISPECIES: stage III sporulation protein AF </t>
  </si>
  <si>
    <t xml:space="preserve">stage III sporulation protein AF </t>
  </si>
  <si>
    <t xml:space="preserve">stage III sporulation protein SpoIIIAF </t>
  </si>
  <si>
    <t xml:space="preserve">stage III sporulation protein (feeding tube apparatus) </t>
  </si>
  <si>
    <t xml:space="preserve">mutants block sporulation after engulfment </t>
  </si>
  <si>
    <t xml:space="preserve">stage III sporulation protein AF (mutants block sporulation after engulfment) </t>
  </si>
  <si>
    <t xml:space="preserve">hypothetical protein Teth39_1093 </t>
  </si>
  <si>
    <t xml:space="preserve">hypothetical protein Dhaf_3511 </t>
  </si>
  <si>
    <t xml:space="preserve">hypothetical protein DealDRAFT_0747 </t>
  </si>
  <si>
    <t xml:space="preserve">hypothetical protein TCA2_2394 </t>
  </si>
  <si>
    <t xml:space="preserve">Stage III sporulation protein AF </t>
  </si>
  <si>
    <t xml:space="preserve">hypothetical protein LIP_2602 </t>
  </si>
  <si>
    <t xml:space="preserve">Stage III sporulation protein AF (Spore_III_AF) </t>
  </si>
  <si>
    <t xml:space="preserve">MULTISPECIES: SpoIIIAH-like family protein </t>
  </si>
  <si>
    <t xml:space="preserve">hypothetical protein </t>
  </si>
  <si>
    <t xml:space="preserve">SpoIIIAH-like family protein </t>
  </si>
  <si>
    <t xml:space="preserve">stage III sporulation protein AH </t>
  </si>
  <si>
    <t xml:space="preserve">stage III sporulation protein SpoIIIAH </t>
  </si>
  <si>
    <t xml:space="preserve">stage III sporulation ratchet engulfment protein </t>
  </si>
  <si>
    <t xml:space="preserve">stage III sporulation protein AH (mutants block sporulation after engulfment) </t>
  </si>
  <si>
    <t xml:space="preserve">hypothetical protein Teth39_1095 </t>
  </si>
  <si>
    <t xml:space="preserve">hypothetical protein Nther_1706 </t>
  </si>
  <si>
    <t xml:space="preserve">hypothetical protein Hore_06240 </t>
  </si>
  <si>
    <t xml:space="preserve">hypothetical protein Dhaf_3509 </t>
  </si>
  <si>
    <t xml:space="preserve">hypothetical protein DealDRAFT_0745 </t>
  </si>
  <si>
    <t xml:space="preserve">hypothetical protein ALO_11934 </t>
  </si>
  <si>
    <t xml:space="preserve">hypothetical protein BALCAV_0207690 </t>
  </si>
  <si>
    <t xml:space="preserve">hypothetical protein TCA2_2396 </t>
  </si>
  <si>
    <t xml:space="preserve">Stage III sporulation protein AH-like protein </t>
  </si>
  <si>
    <t xml:space="preserve">hypothetical protein CDO51_05555 </t>
  </si>
  <si>
    <t xml:space="preserve">hypothetical protein HLK68_13220 </t>
  </si>
  <si>
    <t xml:space="preserve">Stage III sporulation protein AH </t>
  </si>
  <si>
    <t xml:space="preserve">MULTISPECIES: stage III sporulation protein AG </t>
  </si>
  <si>
    <t xml:space="preserve">MULTISPECIES: hypothetical protein </t>
  </si>
  <si>
    <t xml:space="preserve">stage III sporulation protein AG </t>
  </si>
  <si>
    <t xml:space="preserve">stage III sporulation protein SpoIIIAG </t>
  </si>
  <si>
    <t xml:space="preserve">stage III sporulation engulfment assembly protein </t>
  </si>
  <si>
    <t xml:space="preserve">stage III sporulation protein AG (mutants block sporulation after engulfment) </t>
  </si>
  <si>
    <t xml:space="preserve">hypothetical protein Teth39_1094 </t>
  </si>
  <si>
    <t xml:space="preserve">sporulation stage III protein AG </t>
  </si>
  <si>
    <t xml:space="preserve">Sporulation stage III protein AG </t>
  </si>
  <si>
    <t xml:space="preserve">stage III sporulation protein AG, putative </t>
  </si>
  <si>
    <t xml:space="preserve">hypothetical protein COB47_1517 </t>
  </si>
  <si>
    <t xml:space="preserve">hypothetical protein ALO_11929 </t>
  </si>
  <si>
    <t xml:space="preserve">Stage III sporulation protein AG </t>
  </si>
  <si>
    <t xml:space="preserve">hypothetical protein MTJW_15800 </t>
  </si>
  <si>
    <t xml:space="preserve">hypothetical protein CDO51_05560 </t>
  </si>
  <si>
    <t xml:space="preserve">spore_III_AG: stage III sporulation protein AG </t>
  </si>
  <si>
    <t xml:space="preserve">hypothetical protein NE619_04035 </t>
  </si>
  <si>
    <t xml:space="preserve">MULTISPECIES: flagellar basal-body MS-ring/collar protein FliF </t>
  </si>
  <si>
    <t xml:space="preserve">flagellar basal-body MS-ring/collar protein FliF </t>
  </si>
  <si>
    <t xml:space="preserve">flagellar MS-ring protein </t>
  </si>
  <si>
    <t xml:space="preserve">flagellar basal-body MS-ring and collar protein </t>
  </si>
  <si>
    <t xml:space="preserve">Flagella M-ring outer membrane protein precursor </t>
  </si>
  <si>
    <t xml:space="preserve">type III export protein PscJ </t>
  </si>
  <si>
    <t xml:space="preserve">secretion system apparatus protein </t>
  </si>
  <si>
    <t xml:space="preserve">basal-body MS (membrane and supramembrane)-ring and collar protein </t>
  </si>
  <si>
    <t xml:space="preserve">cell invasion protein </t>
  </si>
  <si>
    <t xml:space="preserve">Flagellar M-ring transmembrane protein </t>
  </si>
  <si>
    <t xml:space="preserve">HrcJ protein </t>
  </si>
  <si>
    <t xml:space="preserve">flagellar protein </t>
  </si>
  <si>
    <t xml:space="preserve">secretion protein </t>
  </si>
  <si>
    <t xml:space="preserve">flagellar M-ring protein </t>
  </si>
  <si>
    <t xml:space="preserve">flagellar basal-body M-ring protein </t>
  </si>
  <si>
    <t xml:space="preserve">putative pathogenicity island lipoprotein </t>
  </si>
  <si>
    <t xml:space="preserve">pathogenicity 1 island effector protein </t>
  </si>
  <si>
    <t xml:space="preserve">flagellar M-ring protein fliF </t>
  </si>
  <si>
    <t xml:space="preserve">FliF </t>
  </si>
  <si>
    <t xml:space="preserve">type III secretion system apparatus lipoprotein </t>
  </si>
  <si>
    <t xml:space="preserve">flagellar M-ring mounting plate protein FliF </t>
  </si>
  <si>
    <t xml:space="preserve">flagellar M-ring protein FliF </t>
  </si>
  <si>
    <t xml:space="preserve">Flagellar basal body M-ring protein </t>
  </si>
  <si>
    <t xml:space="preserve">Flagellar M-ring protein </t>
  </si>
  <si>
    <t xml:space="preserve">Yop proteins translocation lipoprotein J </t>
  </si>
  <si>
    <t xml:space="preserve">polar flagellar M-ring protein FliF </t>
  </si>
  <si>
    <t xml:space="preserve">Flagellar biosynthesis/type III secretory pathway lipoprotein </t>
  </si>
  <si>
    <t xml:space="preserve">putative type III secretion associated protein </t>
  </si>
  <si>
    <t xml:space="preserve">Type III secretion system protein </t>
  </si>
  <si>
    <t xml:space="preserve">putative type III secretion protein </t>
  </si>
  <si>
    <t xml:space="preserve">type III secretion system BasJ </t>
  </si>
  <si>
    <t xml:space="preserve">type III secretion apparatus lipoprotein, YscJ/HrcJ family </t>
  </si>
  <si>
    <t xml:space="preserve">Flagellar FliF M-ring protein </t>
  </si>
  <si>
    <t xml:space="preserve">lipoprotein transmembrane protein </t>
  </si>
  <si>
    <t xml:space="preserve">type III secretion lipoprotein, YscJ/FliF family </t>
  </si>
  <si>
    <t xml:space="preserve">flagellar FliF M-ring protein </t>
  </si>
  <si>
    <t xml:space="preserve">flagellar biosynthesis/type III secretory pathway lipoprotein FliF </t>
  </si>
  <si>
    <t xml:space="preserve">Flagellar M-ring FliF protein </t>
  </si>
  <si>
    <t xml:space="preserve">secretory protein YscJ/FliF family protein </t>
  </si>
  <si>
    <t xml:space="preserve">related to flagellar M-ring protein (FliF) </t>
  </si>
  <si>
    <t xml:space="preserve">lateral flagellar M-ring protein (FliF-like) </t>
  </si>
  <si>
    <t xml:space="preserve">type III secretion system protein </t>
  </si>
  <si>
    <t xml:space="preserve">type III secretion system lipoprotein </t>
  </si>
  <si>
    <t xml:space="preserve">SctJ: non flagellar T3S system conserved transmembrane lipoprotein yscJ/FliF family </t>
  </si>
  <si>
    <t xml:space="preserve">FliF: Flagellar biosynthesis protein, M-ring protein, Belongs to the fliF family </t>
  </si>
  <si>
    <t xml:space="preserve">flagellar basal-body MS-ring and collar protein FliF </t>
  </si>
  <si>
    <t xml:space="preserve">putative type III secretion lipoprotein </t>
  </si>
  <si>
    <t xml:space="preserve">flagellar M-ring protein (plasmid) </t>
  </si>
  <si>
    <t xml:space="preserve">Type III secretion apparatus lipoprotein, YscJ/HrcJ family </t>
  </si>
  <si>
    <t xml:space="preserve">Type III secretion lipoprotein, YscJ/FliF family </t>
  </si>
  <si>
    <t xml:space="preserve">Type III secretion system apparatus lipoprotein </t>
  </si>
  <si>
    <t xml:space="preserve">type III secretion apparatus lipoprotein YscJ </t>
  </si>
  <si>
    <t xml:space="preserve">type III secretion lipoprotein (plasmid) </t>
  </si>
  <si>
    <t xml:space="preserve">putative flagellar M-ring protein </t>
  </si>
  <si>
    <t xml:space="preserve">FLAGELLAR BASAL-BODY M-RING PROTEIN FLIF </t>
  </si>
  <si>
    <t xml:space="preserve">Hypothetical FliF Flagellar M-ring transmembrane protein </t>
  </si>
  <si>
    <t xml:space="preserve">type III secretion periplasmic lipoprotein </t>
  </si>
  <si>
    <t xml:space="preserve">YscJ/FliF family type III secretion lipoprotein </t>
  </si>
  <si>
    <t xml:space="preserve">YscJ/HrcJ family type III secretion apparatus lipoprotein </t>
  </si>
  <si>
    <t xml:space="preserve">flagellar basal-body M-ring protein/flagellar hook-basal body protein FliF </t>
  </si>
  <si>
    <t xml:space="preserve">hypothetical protein BJ6T_24060 </t>
  </si>
  <si>
    <t xml:space="preserve">RhcJ protein </t>
  </si>
  <si>
    <t xml:space="preserve">Type III secretion bridge between inner and outermembrane lipoprotein (YscJ,HrcJ,EscJ, PscJ) </t>
  </si>
  <si>
    <t xml:space="preserve">Flagellar M-ring protein FliF </t>
  </si>
  <si>
    <t xml:space="preserve">type III secretion apparatus protein, YscJ/HrcJ family </t>
  </si>
  <si>
    <t xml:space="preserve">flagellar basal-body M-ring protein/flagellar hook-basal body protein (fliF) </t>
  </si>
  <si>
    <t xml:space="preserve">type III secretion protein </t>
  </si>
  <si>
    <t xml:space="preserve">Type III secretion apparatus </t>
  </si>
  <si>
    <t xml:space="preserve">hypothetical protein GEMMAAP_02370 </t>
  </si>
  <si>
    <t xml:space="preserve">FliF family flagellar M-ring protein </t>
  </si>
  <si>
    <t xml:space="preserve">hypothetical protein ID47_06890 </t>
  </si>
  <si>
    <t xml:space="preserve">type III secretion apparatus lipoprotein, YscJ/HrcJ family (plasmid) </t>
  </si>
  <si>
    <t xml:space="preserve">hypothetical protein ABW48_04510 </t>
  </si>
  <si>
    <t xml:space="preserve">Nodulation protein NolT precursor </t>
  </si>
  <si>
    <t xml:space="preserve">EscJ/YscJ/HrcJ family type III secretion inner membrane ring protein </t>
  </si>
  <si>
    <t xml:space="preserve">hypothetical protein CCB80_03530 </t>
  </si>
  <si>
    <t xml:space="preserve">flagellar basal body M-ring protein FliF </t>
  </si>
  <si>
    <t xml:space="preserve">hypothetical protein DN745_03310 </t>
  </si>
  <si>
    <t xml:space="preserve">MAG: flagellar M-ring protein FliF </t>
  </si>
  <si>
    <t xml:space="preserve">type III secretion protein J </t>
  </si>
  <si>
    <t xml:space="preserve">type III secretion inner membrane ring lipoprotein SctJ </t>
  </si>
  <si>
    <t xml:space="preserve">hypothetical protein J8C08_13885 </t>
  </si>
  <si>
    <t xml:space="preserve">flagellar M-ring protein FliF, partial </t>
  </si>
  <si>
    <t xml:space="preserve">putative type III secretion system lipoprotein precursor EprK </t>
  </si>
  <si>
    <t xml:space="preserve">flagellar basal-body M ring protein (fliF) </t>
  </si>
  <si>
    <t xml:space="preserve">Flagellar M-Ring Protein </t>
  </si>
  <si>
    <t xml:space="preserve">flagellar M ring protein FliF </t>
  </si>
  <si>
    <t xml:space="preserve">Flagellar biosynthesis/type III secretory pathway lipoprotein-like protein </t>
  </si>
  <si>
    <t xml:space="preserve">probable polar flagellar M-ring protein FliF </t>
  </si>
  <si>
    <t xml:space="preserve">Putative polar flagellar M-ring protein FliF </t>
  </si>
  <si>
    <t xml:space="preserve">hypothetical protein BSNT_08132 </t>
  </si>
  <si>
    <t xml:space="preserve">hypothetical protein BSNT_08133 </t>
  </si>
  <si>
    <t xml:space="preserve">hypothetical protein TCA2_0238 </t>
  </si>
  <si>
    <t xml:space="preserve">hypothetical protein AB751O23_AV_00020 </t>
  </si>
  <si>
    <t xml:space="preserve">heavy metal translocating P-type ATPase </t>
  </si>
  <si>
    <t xml:space="preserve">copper ion binding protein </t>
  </si>
  <si>
    <t xml:space="preserve">flagellar motor switch protein </t>
  </si>
  <si>
    <t xml:space="preserve">conserved hypothetical protein TIGR01033 </t>
  </si>
  <si>
    <t xml:space="preserve">copper-translocating P-type ATPase </t>
  </si>
  <si>
    <t xml:space="preserve">YebC/PmpR family DNA-binding transcriptional regulator </t>
  </si>
  <si>
    <t xml:space="preserve">Probable transcriptional regulatory protein SAV0669 </t>
  </si>
  <si>
    <t>Clostridium</t>
  </si>
  <si>
    <t>Alkalihalophilus pseudofirmus OF4</t>
  </si>
  <si>
    <t>Clostridium tetani E88</t>
  </si>
  <si>
    <t>Bacillus cereus ATCC 10987</t>
  </si>
  <si>
    <t>Bacillus licheniformis DSM 13 = ATCC 14580</t>
  </si>
  <si>
    <t>Bacillus subtilis subsp subtilis str 168</t>
  </si>
  <si>
    <t>Geobacillus kaustophilus HTA426</t>
  </si>
  <si>
    <t>Alkalihalobacillus clausii KSM-K16</t>
  </si>
  <si>
    <t>Symbiobacterium thermophilum IAM 14863</t>
  </si>
  <si>
    <t>Halalkalibacterium halodurans C-125</t>
  </si>
  <si>
    <t>Oceanobacillus iheyensis HTE831</t>
  </si>
  <si>
    <t>Thermoanaerobacter pseudethanolicus ATCC 33223</t>
  </si>
  <si>
    <t>Natranaerobius thermophilus JW/NM-WN-LF</t>
  </si>
  <si>
    <t>Halothermothrix orenii H 168</t>
  </si>
  <si>
    <t>Desulfitobacterium hafniense DCB-2</t>
  </si>
  <si>
    <t>Dethiobacter alkaliphilus AHT 1</t>
  </si>
  <si>
    <t>Acetonema longum DSM 6540</t>
  </si>
  <si>
    <t>Paenibacillus sp TCA20</t>
  </si>
  <si>
    <t>Weizmannia coagulans DSM 1 = ATCC 7050</t>
  </si>
  <si>
    <t>Clostridium autoethanogenum DSM 10061</t>
  </si>
  <si>
    <t>Limnochorda pilosa</t>
  </si>
  <si>
    <t>Moorella thermoacetica</t>
  </si>
  <si>
    <t>Natranaerobius trueperi</t>
  </si>
  <si>
    <t>Brevibacillus laterosporus DSM 25</t>
  </si>
  <si>
    <t>Monoglobus pectinilyticus</t>
  </si>
  <si>
    <t>Tissierella sp JN-28</t>
  </si>
  <si>
    <t>Alkalicella caledoniensis</t>
  </si>
  <si>
    <t>Natranaerofaba carboxydovora</t>
  </si>
  <si>
    <t>Candidatus Contubernalis alkalaceticus</t>
  </si>
  <si>
    <t>Anaerovorax odorimutans</t>
  </si>
  <si>
    <t>Anaerobranca californiensis DSM 14826</t>
  </si>
  <si>
    <t>Epulopiscium sp 'Nt morphotype B'</t>
  </si>
  <si>
    <t>Alkalihalobacillus trypoxylicola</t>
  </si>
  <si>
    <t>Amedibacillus dolichus</t>
  </si>
  <si>
    <t>Coprobacillus cateniformis</t>
  </si>
  <si>
    <t>Solibacillus</t>
  </si>
  <si>
    <t>Bacteria</t>
  </si>
  <si>
    <t>Bacillus sp OxB-1</t>
  </si>
  <si>
    <t>Beduini massiliensis</t>
  </si>
  <si>
    <t>Viridibacillus arvi</t>
  </si>
  <si>
    <t>Sporosarcina</t>
  </si>
  <si>
    <t>Sporosarcina ureae</t>
  </si>
  <si>
    <t>Ureibacillus</t>
  </si>
  <si>
    <t>Rummeliibacillus pycnus</t>
  </si>
  <si>
    <t>Lysinibacillus</t>
  </si>
  <si>
    <t>Metasolibacillus</t>
  </si>
  <si>
    <t>Holdemania filiformis</t>
  </si>
  <si>
    <t>Paenisporosarcina antarctica</t>
  </si>
  <si>
    <t>Rummeliibacillus</t>
  </si>
  <si>
    <t>Psychrobacillus</t>
  </si>
  <si>
    <t>Psychrobacillus glaciei</t>
  </si>
  <si>
    <t>Bacillota</t>
  </si>
  <si>
    <t>Faecalibacillus intestinalis</t>
  </si>
  <si>
    <t>Longicatena</t>
  </si>
  <si>
    <t>Thomasclavelia spiroformis</t>
  </si>
  <si>
    <t>Bhargavaea ginsengi</t>
  </si>
  <si>
    <t>Edaphobacillus lindanitolerans</t>
  </si>
  <si>
    <t>Thomasclavelia</t>
  </si>
  <si>
    <t>Alkalihalobacillus alcalophilus ATCC 27647 = CGMCC 13604</t>
  </si>
  <si>
    <t>Turicibacter sanguinis</t>
  </si>
  <si>
    <t>Viridibacillus</t>
  </si>
  <si>
    <t>Lysinibacillus sphaericus</t>
  </si>
  <si>
    <t>Paenisporosarcina</t>
  </si>
  <si>
    <t>Caldicellulosiruptor obsidiansis OB47</t>
  </si>
  <si>
    <t>Bacillus subtilis subsp natto BEST195</t>
  </si>
  <si>
    <t>Ureibacillus thermosphaericus</t>
  </si>
  <si>
    <t>Escherichia coli str K-12 substr MG1655</t>
  </si>
  <si>
    <t>Pseudomonas aeruginosa PAO1</t>
  </si>
  <si>
    <t>Salmonella enterica subsp enterica serovar Typhimurium str LT2</t>
  </si>
  <si>
    <t>Sinorhizobium meliloti 1021</t>
  </si>
  <si>
    <t>Xanthomonas campestris pv campestris str ATCC 33913</t>
  </si>
  <si>
    <t>Chlamydia pneumoniae TW-183</t>
  </si>
  <si>
    <t>Buchnera aphidicola str Sg (Schizaphis graminum)</t>
  </si>
  <si>
    <t>Salmonella enterica subsp enterica serovar Typhi str Ty2</t>
  </si>
  <si>
    <t>Leptospira interrogans serovar Copenhageni str Fiocruz L1-130</t>
  </si>
  <si>
    <t>Chromobacterium violaceum ATCC 12472</t>
  </si>
  <si>
    <t>Geobacter sulfurreducens PCA</t>
  </si>
  <si>
    <t>Idiomarina loihiensis L2TR</t>
  </si>
  <si>
    <t>Thermotoga maritima MSB8</t>
  </si>
  <si>
    <t>Aquifex aeolicus VF5</t>
  </si>
  <si>
    <t>Chlamydia trachomatis D/UW-3/CX</t>
  </si>
  <si>
    <t>Campylobacter jejuni subsp jejuni NCTC 11168 = ATCC 700819</t>
  </si>
  <si>
    <t>Buchnera aphidicola str APS (Acyrthosiphon pisum)</t>
  </si>
  <si>
    <t>Vibrio vulnificus YJ016</t>
  </si>
  <si>
    <t>Magnetospirillum magneticum AMB-1</t>
  </si>
  <si>
    <t>Gemmatimonas aurantiaca T-27</t>
  </si>
  <si>
    <t>Solidesulfovibrio magneticus RS-1</t>
  </si>
  <si>
    <t>Cereibacter sphaeroides KD131</t>
  </si>
  <si>
    <t>Burkholderia pseudomallei K96243</t>
  </si>
  <si>
    <t>Burkholderia mallei ATCC 23344</t>
  </si>
  <si>
    <t>Pseudomonas syringae pv syringae B728a</t>
  </si>
  <si>
    <t>Colwellia psychrerythraea 34H</t>
  </si>
  <si>
    <t>Burkholderia thailandensis E264</t>
  </si>
  <si>
    <t>Myxococcus xanthus DK 1622</t>
  </si>
  <si>
    <t>Nitrobacter winogradskyi Nb-255</t>
  </si>
  <si>
    <t>Thiobacillus denitrificans ATCC 25259</t>
  </si>
  <si>
    <t>Nitrosococcus oceani ATCC 19707</t>
  </si>
  <si>
    <t>Syntrophotalea carbinolica DSM 2380</t>
  </si>
  <si>
    <t>Hyphomonas neptunium ATCC 15444</t>
  </si>
  <si>
    <t>Salinibacter ruber DSM 13855</t>
  </si>
  <si>
    <t>Syntrophus aciditrophicus SB</t>
  </si>
  <si>
    <t>Saccharophagus degradans 2-40</t>
  </si>
  <si>
    <t>Methylobacillus flagellatus KT</t>
  </si>
  <si>
    <t>Nitrosomonas eutropha C91</t>
  </si>
  <si>
    <t>Magnetococcus marinus MC-1</t>
  </si>
  <si>
    <t>Marinobacter nauticus VT8</t>
  </si>
  <si>
    <t>Brucella ovis ATCC 25840</t>
  </si>
  <si>
    <t>Parvibaculum lavamentivorans DS-1</t>
  </si>
  <si>
    <t>Leptospira biflexa serovar Patoc strain 'Patoc 1 (Paris)'</t>
  </si>
  <si>
    <t>Shewanella sediminis HAW-EB3</t>
  </si>
  <si>
    <t>Thermotoga neapolitana DSM 4359</t>
  </si>
  <si>
    <t>Pseudomonas putida GB-1</t>
  </si>
  <si>
    <t>Opitutus terrae PB90-1</t>
  </si>
  <si>
    <t>Desulforapulum autotrophicum HRM2</t>
  </si>
  <si>
    <t>Citrifermentans bemidjiense Bem</t>
  </si>
  <si>
    <t>Thermodesulfovibrio yellowstonii DSM 11347</t>
  </si>
  <si>
    <t>Nautilia profundicola AmH</t>
  </si>
  <si>
    <t>Thioalkalivibrio sulfidiphilus HL-EbGr7</t>
  </si>
  <si>
    <t>Caulobacter vibrioides NA1000</t>
  </si>
  <si>
    <t>Anaeromyxobacter dehalogenans 2CP-1</t>
  </si>
  <si>
    <t>Acidobacterium capsulatum ATCC 51196</t>
  </si>
  <si>
    <t>Pectobacterium carotovorum subsp carotovorum PC1</t>
  </si>
  <si>
    <t>Methylotenera mobilis JLW8</t>
  </si>
  <si>
    <t>Zymomonas mobilis subsp mobilis NCIMB 11163</t>
  </si>
  <si>
    <t>Desulfohalobium retbaense DSM 5692</t>
  </si>
  <si>
    <t>Candidatus Puniceispirillum marinum IMCC1322</t>
  </si>
  <si>
    <t>Thermanaerovibrio acidaminovorans DSM 6589</t>
  </si>
  <si>
    <t>Thermocrinis albus DSM 14484</t>
  </si>
  <si>
    <t>Sideroxydans lithotrophicus ES-1</t>
  </si>
  <si>
    <t>Denitrovibrio acetiphilus DSM 12809</t>
  </si>
  <si>
    <t>Desulfotalea psychrophila LSv54</t>
  </si>
  <si>
    <t>Escherichia coli 042</t>
  </si>
  <si>
    <t>Erwinia amylovora ATCC 49946</t>
  </si>
  <si>
    <t>Cupriavidus taiwanensis LMG 19424</t>
  </si>
  <si>
    <t>Bordetella avium 197N</t>
  </si>
  <si>
    <t>Shewanella violacea DSS12</t>
  </si>
  <si>
    <t>Agrobacterium fabrum str C58</t>
  </si>
  <si>
    <t>Arcobacter nitrofigilis DSM 7299</t>
  </si>
  <si>
    <t>Brevundimonas subvibrioides ATCC 15264</t>
  </si>
  <si>
    <t>Shewanella oneidensis MR-1</t>
  </si>
  <si>
    <t>Sulfurimonas autotrophica DSM 16294</t>
  </si>
  <si>
    <t>Vibrio splendidus 12B01</t>
  </si>
  <si>
    <t>Pseudoalteromonas tunicata D2</t>
  </si>
  <si>
    <t>Vibrio alginolyticus 12G01</t>
  </si>
  <si>
    <t>Octadecabacter arcticus 238</t>
  </si>
  <si>
    <t>Stigmatella aurantiaca DW4/3-1</t>
  </si>
  <si>
    <t>Marinobacter adhaerens HP15</t>
  </si>
  <si>
    <t>Yersinia mollaretii ATCC 43969</t>
  </si>
  <si>
    <t>Yersinia pestis biovar Orientalis str IP275</t>
  </si>
  <si>
    <t>Comamonas testosteroni KF-1</t>
  </si>
  <si>
    <t>Alteromonas macleodii ATCC 27126</t>
  </si>
  <si>
    <t>Vibrio mimicus VM603</t>
  </si>
  <si>
    <t>Vibrio mediterranei AK1</t>
  </si>
  <si>
    <t>Methylobacter tundripaludum SV96</t>
  </si>
  <si>
    <t>Marinomonas mediterranea MMB-1</t>
  </si>
  <si>
    <t>Desulfovibrio vulgaris str Hildenborough</t>
  </si>
  <si>
    <t>Vibrio parahaemolyticus RIMD 2210633</t>
  </si>
  <si>
    <t>Wolinella succinogenes</t>
  </si>
  <si>
    <t>Photobacterium profundum SS9</t>
  </si>
  <si>
    <t>Photobacterium leiognathi subsp mandapamensis svers11</t>
  </si>
  <si>
    <t>Hylemonella gracilis ATCC 19624</t>
  </si>
  <si>
    <t>Candidatus Midichloria mitochondrii IricVA</t>
  </si>
  <si>
    <t>Rhodospirillum rubrum F11</t>
  </si>
  <si>
    <t>Micavibrio aeruginosavorus ARL-13</t>
  </si>
  <si>
    <t>Glaciecola nitratireducens FR1064</t>
  </si>
  <si>
    <t>Marinobacter manganoxydans MnI7-9</t>
  </si>
  <si>
    <t>Hafnia alvei ATCC 51873</t>
  </si>
  <si>
    <t>Alishewanella jeotgali KCTC 22429</t>
  </si>
  <si>
    <t>Wigglesworthia glossinidia endosymbiont of Glossina morsitans morsitans (Yale colony)</t>
  </si>
  <si>
    <t>Parachlamydia acanthamoebae UV-7</t>
  </si>
  <si>
    <t>Corallococcus coralloides DSM 2259</t>
  </si>
  <si>
    <t>Terriglobus roseus DSM 18391</t>
  </si>
  <si>
    <t>Sphingobium sp SYK-6</t>
  </si>
  <si>
    <t>Leptospirillum ferrooxidans C2-3</t>
  </si>
  <si>
    <t>Bradyrhizobium japonicum USDA 6</t>
  </si>
  <si>
    <t>Marinobacter nauticus ATCC 49840</t>
  </si>
  <si>
    <t>Morganella morganii subsp morganii KT</t>
  </si>
  <si>
    <t>Helicobacter pylori 26695</t>
  </si>
  <si>
    <t>Leptospira santarosai serovar Shermani str LT 821</t>
  </si>
  <si>
    <t>Paraglaciecola mesophila KMM 241</t>
  </si>
  <si>
    <t>Cronobacter condimenti 1330</t>
  </si>
  <si>
    <t>Lawsonia intracellularis N343</t>
  </si>
  <si>
    <t>Pseudoalteromonas luteoviolacea B = ATCC 29581</t>
  </si>
  <si>
    <t>Xanthomonas axonopodis Xac29-1</t>
  </si>
  <si>
    <t>Pseudobdellovibrio exovorus JSS</t>
  </si>
  <si>
    <t>Chthonomonas calidirosea T49</t>
  </si>
  <si>
    <t>Chlamydia pecorum PV3056/3</t>
  </si>
  <si>
    <t>Candidatus Photodesmus katoptron Akat1</t>
  </si>
  <si>
    <t>Mucispirillum schaedleri ASF457</t>
  </si>
  <si>
    <t>Magnetospirillum gryphiswaldense MSR-1 v2</t>
  </si>
  <si>
    <t>Sodalis praecaptivus</t>
  </si>
  <si>
    <t>Gluconobacter oxydans DSM 3504</t>
  </si>
  <si>
    <t>Bdellovibrio bacteriovorus</t>
  </si>
  <si>
    <t>Gemmatimonas phototrophica</t>
  </si>
  <si>
    <t>Serratia marcescens subsp marcescens ATCC 13880</t>
  </si>
  <si>
    <t>Candidatus Paracaedibacter acanthamoebae</t>
  </si>
  <si>
    <t>Yersinia enterocolitica</t>
  </si>
  <si>
    <t>Methylobacterium oryzae CBMB20</t>
  </si>
  <si>
    <t>Enterobacter cancerogenus</t>
  </si>
  <si>
    <t>Erwinia typographi</t>
  </si>
  <si>
    <t>Yersinia pseudotuberculosis IP 32953</t>
  </si>
  <si>
    <t>Atlantibacter hermannii</t>
  </si>
  <si>
    <t>Enterobacter genomosp O</t>
  </si>
  <si>
    <t>Enterobacter bugandensis</t>
  </si>
  <si>
    <t>Yersinia frederiksenii</t>
  </si>
  <si>
    <t>Nitrospira moscoviensis</t>
  </si>
  <si>
    <t>Pluralibacter gergoviae</t>
  </si>
  <si>
    <t>Campylobacter concisus</t>
  </si>
  <si>
    <t>Candidatus Xiphinematobacter sp Idaho Grape</t>
  </si>
  <si>
    <t>Yersinia bercovieri</t>
  </si>
  <si>
    <t>Pantoea dispersa</t>
  </si>
  <si>
    <t>Obesumbacterium proteus</t>
  </si>
  <si>
    <t>Xenorhabdus hominickii</t>
  </si>
  <si>
    <t>Sulfurospirillum halorespirans DSM 13726</t>
  </si>
  <si>
    <t>Legionella pneumophila</t>
  </si>
  <si>
    <t>Rhodoferax saidenbachensis</t>
  </si>
  <si>
    <t>Pantoea septica</t>
  </si>
  <si>
    <t>Desulfurella amilsii</t>
  </si>
  <si>
    <t>Armatimonadetes bacterium Uphvl-Ar1</t>
  </si>
  <si>
    <t>Tatumella citrea</t>
  </si>
  <si>
    <t>Enterobacter cloacae</t>
  </si>
  <si>
    <t>Nibricoccus aquaticus</t>
  </si>
  <si>
    <t>Rhizobacter gummiphilus</t>
  </si>
  <si>
    <t>Mariprofundus aestuarium</t>
  </si>
  <si>
    <t>Mariprofundus ferrinatatus</t>
  </si>
  <si>
    <t>Citrobacter amalonaticus</t>
  </si>
  <si>
    <t>Chlamydia muridarum str Nigg</t>
  </si>
  <si>
    <t>Plesiomonas shigelloides</t>
  </si>
  <si>
    <t>Bradymonas sediminis</t>
  </si>
  <si>
    <t>Candidatus Auribacter fodinae</t>
  </si>
  <si>
    <t>Buttiauxella warmboldiae</t>
  </si>
  <si>
    <t>Geovibrio thiophilus</t>
  </si>
  <si>
    <t>Rahnella variigena</t>
  </si>
  <si>
    <t>Biostraticola tofi</t>
  </si>
  <si>
    <t>Pantoea agglomerans</t>
  </si>
  <si>
    <t>Hydrogenovibrio crunogenus</t>
  </si>
  <si>
    <t>Aeromonas schubertii</t>
  </si>
  <si>
    <t>Cellvibrio japonicus</t>
  </si>
  <si>
    <t>Tepidiforma bonchosmolovskayae</t>
  </si>
  <si>
    <t>Gemmatimonas groenlandica</t>
  </si>
  <si>
    <t>Candidatus Accumulibacter similis</t>
  </si>
  <si>
    <t>Shigella sonnei</t>
  </si>
  <si>
    <t>Sphingomonas alpina</t>
  </si>
  <si>
    <t>Pseudocitrobacter faecalis</t>
  </si>
  <si>
    <t>Dissulfurispira thermophila</t>
  </si>
  <si>
    <t>Paludibaculum fermentans</t>
  </si>
  <si>
    <t>Fibrobacteres bacterium</t>
  </si>
  <si>
    <t>Sulfidibacter corallicola</t>
  </si>
  <si>
    <t>Chloracidobacterium thermophilum</t>
  </si>
  <si>
    <t>Saccharophagus degradans</t>
  </si>
  <si>
    <t>Klebsiella aerogenes</t>
  </si>
  <si>
    <t>Tepidimonas taiwanensis</t>
  </si>
  <si>
    <t>Shewanella putrefaciens</t>
  </si>
  <si>
    <t>Desulfatibacillum alkenivorans DSM 16219</t>
  </si>
  <si>
    <t>Cereibacter sphaeroides</t>
  </si>
  <si>
    <t>Edwardsiella ictaluri ATCC 33202</t>
  </si>
  <si>
    <t>Oleidesulfovibrio alaskensis DSM 16109</t>
  </si>
  <si>
    <t>Plesiomonas shigelloides LS1</t>
  </si>
  <si>
    <t>Rummeliibacillus stabekisii</t>
  </si>
  <si>
    <t>Vibrio cholerae</t>
  </si>
  <si>
    <t>Vibrio cholerae O1 biovar El Tor str N16961</t>
  </si>
  <si>
    <t>Treponema denticola ATCC 35405</t>
  </si>
  <si>
    <t>Treponema pallidum subsp pallidum str Nichols</t>
  </si>
  <si>
    <t>Aliivibrio fischeri ES114</t>
  </si>
  <si>
    <t>Aeromonas hydrophila subsp hydrophila ATCC 7966</t>
  </si>
  <si>
    <t>Borreliella burgdorferi ZS7</t>
  </si>
  <si>
    <t>Rhodobacter capsulatus SB 1003</t>
  </si>
  <si>
    <t>Pirellula staleyi DSM 6068</t>
  </si>
  <si>
    <t>Rubinisphaera brasiliensis DSM 5305</t>
  </si>
  <si>
    <t>Rhodopirellula baltica SH 1</t>
  </si>
  <si>
    <t>Brachyspira intermedia PWS/A</t>
  </si>
  <si>
    <t>Aeromonas veronii AMC34</t>
  </si>
  <si>
    <t>Brachyspira pilosicoli WesB</t>
  </si>
  <si>
    <t>Aeromonas salmonicida subsp pectinolytica 34mel</t>
  </si>
  <si>
    <t>Listeria innocua</t>
  </si>
  <si>
    <t>Anatilimnocola aggregata</t>
  </si>
  <si>
    <t>Lignipirellula cremea</t>
  </si>
  <si>
    <t>Chlamydiales bacterium SCGC AB-751-O23</t>
  </si>
  <si>
    <t>Solibacillus silvestris</t>
  </si>
  <si>
    <t>Enterococcus faecalis V583</t>
  </si>
  <si>
    <t>Enterococcus cecorum</t>
  </si>
  <si>
    <t>Acession</t>
  </si>
  <si>
    <t>Keyword</t>
  </si>
  <si>
    <t>Category</t>
  </si>
  <si>
    <t>MS (membrane and supramembrane)-ring</t>
  </si>
  <si>
    <t>FLAGELLAR BASAL-BODY M-RING PROTEIN FLIF</t>
  </si>
  <si>
    <t>stage III sporulation protein AH</t>
  </si>
  <si>
    <t>Stage III sporulation protein AG</t>
  </si>
  <si>
    <t>mutants block sporulation after engulfment</t>
  </si>
  <si>
    <t>stage III sporulation ratchet engulfment protein</t>
  </si>
  <si>
    <t>Stage III sporulation protein AH-like protein</t>
  </si>
  <si>
    <t>FlhB</t>
  </si>
  <si>
    <t>Flagellar biosynthetic protein flhB</t>
  </si>
  <si>
    <t>FLAGELLAR BIOSYNTHETIC PROTEIN FLHB</t>
  </si>
  <si>
    <t>flhB HrpN YscU SpaS family protein</t>
  </si>
  <si>
    <t>Flagellar biosynthetic protein fliR/flhB</t>
  </si>
  <si>
    <t>EscU/YscU/HrcU</t>
  </si>
  <si>
    <t>T3SS_U_family</t>
  </si>
  <si>
    <t>type III</t>
  </si>
  <si>
    <t>T3SS</t>
  </si>
  <si>
    <t>Type III</t>
  </si>
  <si>
    <t>T3SS_HrcJ</t>
  </si>
  <si>
    <t>HrcJ protein</t>
  </si>
  <si>
    <t>RhcJ protein</t>
  </si>
  <si>
    <t>T3SS_RhcJ</t>
  </si>
  <si>
    <t>HrcU protein</t>
  </si>
  <si>
    <t>T3SS_HrcU</t>
  </si>
  <si>
    <t>RhcU protein</t>
  </si>
  <si>
    <t>T3SS_RhcU</t>
  </si>
  <si>
    <t>escU</t>
  </si>
  <si>
    <t>T3SS_EscU</t>
  </si>
  <si>
    <t>secretion system apparatus protein</t>
  </si>
  <si>
    <t>Secretion</t>
  </si>
  <si>
    <t>Secretion system apparatus protein SsaU</t>
  </si>
  <si>
    <t>T3SS_SsaU</t>
  </si>
  <si>
    <t>secretion protein</t>
  </si>
  <si>
    <t>cell invasion protein</t>
  </si>
  <si>
    <t>Cell_invasion</t>
  </si>
  <si>
    <t>flagellar motor switch protein</t>
  </si>
  <si>
    <t>Flagellar_MotorSwitch</t>
  </si>
  <si>
    <t>putative pathogenicity island lipoprotein</t>
  </si>
  <si>
    <t>Lipoprotein</t>
  </si>
  <si>
    <t>pathogenicity 1 island effector protein</t>
  </si>
  <si>
    <t>Yop proteins translocation lipoprotein J</t>
  </si>
  <si>
    <t>T3SS_YscJ</t>
  </si>
  <si>
    <t>lipoprotein transmembrane protein</t>
  </si>
  <si>
    <t>Nodulation protein NolT precursor</t>
  </si>
  <si>
    <t>putative part of export apparatus for flagellar proteins</t>
  </si>
  <si>
    <t>Flagellar_Export</t>
  </si>
  <si>
    <t>surface presentation of antigens</t>
  </si>
  <si>
    <t>Antigen_Presentation</t>
  </si>
  <si>
    <t>surface presentation of antigens protein</t>
  </si>
  <si>
    <t>surface presentation of antigens protein spaS</t>
  </si>
  <si>
    <t>T3SS_SpaS</t>
  </si>
  <si>
    <t>virulence-associated secretory protein</t>
  </si>
  <si>
    <t>YopU</t>
  </si>
  <si>
    <t>T3SS_YscU</t>
  </si>
  <si>
    <t>Yop proteins translocation protein U</t>
  </si>
  <si>
    <t>yop s translocation protein U</t>
  </si>
  <si>
    <t>component of the flagellar export machinery</t>
  </si>
  <si>
    <t>putative export system protein</t>
  </si>
  <si>
    <t>SctU: non flagellar T3S system conserved inner membrane protein flhB/hrpN/yscU/spaS family</t>
  </si>
  <si>
    <t>putative flagellar export pore protein</t>
  </si>
  <si>
    <t>flagellar export pore protein</t>
  </si>
  <si>
    <t>putative uncharacterized protein</t>
  </si>
  <si>
    <t>flagellar biosynthetic</t>
  </si>
  <si>
    <t>Flagellar_Biosynthesis</t>
  </si>
  <si>
    <t>flagellar biosynthesis</t>
  </si>
  <si>
    <t>FhlB</t>
  </si>
  <si>
    <t>Flagellar biosynthetic transmembrane protein</t>
  </si>
  <si>
    <t>Flagellar biosynthesis pathway</t>
  </si>
  <si>
    <t>flagella-associated protein</t>
  </si>
  <si>
    <t>Flagellar biosynthesis-related protein</t>
  </si>
  <si>
    <t>putative flagellar protein</t>
  </si>
  <si>
    <t>flagellar protein</t>
  </si>
  <si>
    <t>flagellar assembly protein</t>
  </si>
  <si>
    <t>Flagellar_Assembly</t>
  </si>
  <si>
    <t>Flagellar biosynthetic protein</t>
  </si>
  <si>
    <t>ion binding</t>
  </si>
  <si>
    <t>Ion_Binding</t>
  </si>
  <si>
    <t>copper ion binding protein</t>
  </si>
  <si>
    <t>flagellar biosynthetic protein fliR/B</t>
  </si>
  <si>
    <t>FliR</t>
  </si>
  <si>
    <t>flagellar biosynthesis protein FlhB</t>
  </si>
  <si>
    <t>stage III sporulation protein AF</t>
  </si>
  <si>
    <t>stage III sporulation protein AG</t>
  </si>
  <si>
    <t>feeding tube apparatus</t>
  </si>
  <si>
    <t>stage III sporulation engulfment assembly protein</t>
  </si>
  <si>
    <t>transcriptional regulator</t>
  </si>
  <si>
    <t>Transcriptional_Regulator</t>
  </si>
  <si>
    <t>ABC transporter</t>
  </si>
  <si>
    <t>ABC_Transporter</t>
  </si>
  <si>
    <t>sctJ</t>
  </si>
  <si>
    <t>T3SS_SctJ</t>
  </si>
  <si>
    <t>protein_family</t>
  </si>
  <si>
    <t>AccessionNumber</t>
  </si>
  <si>
    <t>Species</t>
  </si>
  <si>
    <t>genus_Protein</t>
  </si>
  <si>
    <t>species</t>
  </si>
  <si>
    <t>T3SS_SctU</t>
  </si>
  <si>
    <t>Pathogenecity_Island</t>
  </si>
  <si>
    <t>genus</t>
  </si>
  <si>
    <t>Alkalihalophilus</t>
  </si>
  <si>
    <t>Bacillus</t>
  </si>
  <si>
    <t>Geobacillus</t>
  </si>
  <si>
    <t>Alkalihalobacillus</t>
  </si>
  <si>
    <t>Symbiobacterium</t>
  </si>
  <si>
    <t>Halalkalibacterium</t>
  </si>
  <si>
    <t>Oceanobacillus</t>
  </si>
  <si>
    <t>Thermoanaerobacter</t>
  </si>
  <si>
    <t>Natranaerobius</t>
  </si>
  <si>
    <t>Halothermothrix</t>
  </si>
  <si>
    <t>Desulfitobacterium</t>
  </si>
  <si>
    <t>Dethiobacter</t>
  </si>
  <si>
    <t>Acetonema</t>
  </si>
  <si>
    <t>Paenibacillus</t>
  </si>
  <si>
    <t>Weizmannia</t>
  </si>
  <si>
    <t>Limnochorda</t>
  </si>
  <si>
    <t>Moorella</t>
  </si>
  <si>
    <t>Brevibacillus</t>
  </si>
  <si>
    <t>Monoglobus</t>
  </si>
  <si>
    <t>Tissierella</t>
  </si>
  <si>
    <t>Alkalicella</t>
  </si>
  <si>
    <t>Natranaerofaba</t>
  </si>
  <si>
    <t>Candidatus</t>
  </si>
  <si>
    <t>Anaerovorax</t>
  </si>
  <si>
    <t>Anaerobranca</t>
  </si>
  <si>
    <t>Epulopiscium</t>
  </si>
  <si>
    <t>Amedibacillus</t>
  </si>
  <si>
    <t>Coprobacillus</t>
  </si>
  <si>
    <t>Beduini</t>
  </si>
  <si>
    <t>Holdemania</t>
  </si>
  <si>
    <t>Faecalibacillus</t>
  </si>
  <si>
    <t>Bhargavaea</t>
  </si>
  <si>
    <t>Edaphobacillus</t>
  </si>
  <si>
    <t>Turicibacter</t>
  </si>
  <si>
    <t>Caldicellulosiruptor</t>
  </si>
  <si>
    <t>Escherichia</t>
  </si>
  <si>
    <t>Pseudomonas</t>
  </si>
  <si>
    <t>Salmonella</t>
  </si>
  <si>
    <t>Sinorhizobium</t>
  </si>
  <si>
    <t>Xanthomonas</t>
  </si>
  <si>
    <t>Chlamydia</t>
  </si>
  <si>
    <t>Buchnera</t>
  </si>
  <si>
    <t>Leptospira</t>
  </si>
  <si>
    <t>Chromobacterium</t>
  </si>
  <si>
    <t>Geobacter</t>
  </si>
  <si>
    <t>Idiomarina</t>
  </si>
  <si>
    <t>Thermotoga</t>
  </si>
  <si>
    <t>Aquifex</t>
  </si>
  <si>
    <t>Campylobacter</t>
  </si>
  <si>
    <t>Vibrio</t>
  </si>
  <si>
    <t>Magnetospirillum</t>
  </si>
  <si>
    <t>Gemmatimonas</t>
  </si>
  <si>
    <t>Solidesulfovibrio</t>
  </si>
  <si>
    <t>Cereibacter</t>
  </si>
  <si>
    <t>Burkholderia</t>
  </si>
  <si>
    <t>Colwellia</t>
  </si>
  <si>
    <t>Myxococcus</t>
  </si>
  <si>
    <t>Nitrobacter</t>
  </si>
  <si>
    <t>Thiobacillus</t>
  </si>
  <si>
    <t>Nitrosococcus</t>
  </si>
  <si>
    <t>Syntrophotalea</t>
  </si>
  <si>
    <t>Hyphomonas</t>
  </si>
  <si>
    <t>Salinibacter</t>
  </si>
  <si>
    <t>Syntrophus</t>
  </si>
  <si>
    <t>Saccharophagus</t>
  </si>
  <si>
    <t>Methylobacillus</t>
  </si>
  <si>
    <t>Nitrosomonas</t>
  </si>
  <si>
    <t>Magnetococcus</t>
  </si>
  <si>
    <t>Marinobacter</t>
  </si>
  <si>
    <t>Brucella</t>
  </si>
  <si>
    <t>Parvibaculum</t>
  </si>
  <si>
    <t>Shewanella</t>
  </si>
  <si>
    <t>Opitutus</t>
  </si>
  <si>
    <t>Desulforapulum</t>
  </si>
  <si>
    <t>Citrifermentans</t>
  </si>
  <si>
    <t>Thermodesulfovibrio</t>
  </si>
  <si>
    <t>Nautilia</t>
  </si>
  <si>
    <t>Thioalkalivibrio</t>
  </si>
  <si>
    <t>Caulobacter</t>
  </si>
  <si>
    <t>Anaeromyxobacter</t>
  </si>
  <si>
    <t>Acidobacterium</t>
  </si>
  <si>
    <t>Pectobacterium</t>
  </si>
  <si>
    <t>Methylotenera</t>
  </si>
  <si>
    <t>Zymomonas</t>
  </si>
  <si>
    <t>Desulfohalobium</t>
  </si>
  <si>
    <t>Thermanaerovibrio</t>
  </si>
  <si>
    <t>Thermocrinis</t>
  </si>
  <si>
    <t>Sideroxydans</t>
  </si>
  <si>
    <t>Denitrovibrio</t>
  </si>
  <si>
    <t>Desulfotalea</t>
  </si>
  <si>
    <t>Erwinia</t>
  </si>
  <si>
    <t>Cupriavidus</t>
  </si>
  <si>
    <t>Bordetella</t>
  </si>
  <si>
    <t>Agrobacterium</t>
  </si>
  <si>
    <t>Arcobacter</t>
  </si>
  <si>
    <t>Brevundimonas</t>
  </si>
  <si>
    <t>Sulfurimonas</t>
  </si>
  <si>
    <t>Pseudoalteromonas</t>
  </si>
  <si>
    <t>Octadecabacter</t>
  </si>
  <si>
    <t>Stigmatella</t>
  </si>
  <si>
    <t>Yersinia</t>
  </si>
  <si>
    <t>Comamonas</t>
  </si>
  <si>
    <t>Alteromonas</t>
  </si>
  <si>
    <t>Methylobacter</t>
  </si>
  <si>
    <t>Marinomonas</t>
  </si>
  <si>
    <t>Desulfovibrio</t>
  </si>
  <si>
    <t>Wolinella</t>
  </si>
  <si>
    <t>Photobacterium</t>
  </si>
  <si>
    <t>Hylemonella</t>
  </si>
  <si>
    <t>Rhodospirillum</t>
  </si>
  <si>
    <t>Micavibrio</t>
  </si>
  <si>
    <t>Glaciecola</t>
  </si>
  <si>
    <t>Hafnia</t>
  </si>
  <si>
    <t>Alishewanella</t>
  </si>
  <si>
    <t>Wigglesworthia</t>
  </si>
  <si>
    <t>Parachlamydia</t>
  </si>
  <si>
    <t>Corallococcus</t>
  </si>
  <si>
    <t>Terriglobus</t>
  </si>
  <si>
    <t>Sphingobium</t>
  </si>
  <si>
    <t>Leptospirillum</t>
  </si>
  <si>
    <t>Bradyrhizobium</t>
  </si>
  <si>
    <t>Morganella</t>
  </si>
  <si>
    <t>Helicobacter</t>
  </si>
  <si>
    <t>Paraglaciecola</t>
  </si>
  <si>
    <t>Cronobacter</t>
  </si>
  <si>
    <t>Lawsonia</t>
  </si>
  <si>
    <t>Pseudobdellovibrio</t>
  </si>
  <si>
    <t>Chthonomonas</t>
  </si>
  <si>
    <t>Mucispirillum</t>
  </si>
  <si>
    <t>Sodalis</t>
  </si>
  <si>
    <t>Gluconobacter</t>
  </si>
  <si>
    <t>Bdellovibrio</t>
  </si>
  <si>
    <t>Serratia</t>
  </si>
  <si>
    <t>Methylobacterium</t>
  </si>
  <si>
    <t>Enterobacter</t>
  </si>
  <si>
    <t>Atlantibacter</t>
  </si>
  <si>
    <t>Nitrospira</t>
  </si>
  <si>
    <t>Pluralibacter</t>
  </si>
  <si>
    <t>Pantoea</t>
  </si>
  <si>
    <t>Obesumbacterium</t>
  </si>
  <si>
    <t>Xenorhabdus</t>
  </si>
  <si>
    <t>Sulfurospirillum</t>
  </si>
  <si>
    <t>Legionella</t>
  </si>
  <si>
    <t>Rhodoferax</t>
  </si>
  <si>
    <t>Desulfurella</t>
  </si>
  <si>
    <t>Armatimonadetes</t>
  </si>
  <si>
    <t>Tatumella</t>
  </si>
  <si>
    <t>Nibricoccus</t>
  </si>
  <si>
    <t>Rhizobacter</t>
  </si>
  <si>
    <t>Mariprofundus</t>
  </si>
  <si>
    <t>Citrobacter</t>
  </si>
  <si>
    <t>Plesiomonas</t>
  </si>
  <si>
    <t>Bradymonas</t>
  </si>
  <si>
    <t>Buttiauxella</t>
  </si>
  <si>
    <t>Geovibrio</t>
  </si>
  <si>
    <t>Rahnella</t>
  </si>
  <si>
    <t>Biostraticola</t>
  </si>
  <si>
    <t>Hydrogenovibrio</t>
  </si>
  <si>
    <t>Aeromonas</t>
  </si>
  <si>
    <t>Cellvibrio</t>
  </si>
  <si>
    <t>Tepidiforma</t>
  </si>
  <si>
    <t>Shigella</t>
  </si>
  <si>
    <t>Sphingomonas</t>
  </si>
  <si>
    <t>Pseudocitrobacter</t>
  </si>
  <si>
    <t>Dissulfurispira</t>
  </si>
  <si>
    <t>Paludibaculum</t>
  </si>
  <si>
    <t>Fibrobacteres</t>
  </si>
  <si>
    <t>Sulfidibacter</t>
  </si>
  <si>
    <t>Chloracidobacterium</t>
  </si>
  <si>
    <t>Klebsiella</t>
  </si>
  <si>
    <t>Tepidimonas</t>
  </si>
  <si>
    <t>Desulfatibacillum</t>
  </si>
  <si>
    <t>Edwardsiella</t>
  </si>
  <si>
    <t>Oleidesulfovibrio</t>
  </si>
  <si>
    <t>Treponema</t>
  </si>
  <si>
    <t>Aliivibrio</t>
  </si>
  <si>
    <t>Borreliella</t>
  </si>
  <si>
    <t>Rhodobacter</t>
  </si>
  <si>
    <t>Pirellula</t>
  </si>
  <si>
    <t>Rubinisphaera</t>
  </si>
  <si>
    <t>Rhodopirellula</t>
  </si>
  <si>
    <t>Brachyspira</t>
  </si>
  <si>
    <t>Listeria</t>
  </si>
  <si>
    <t>Anatilimnocola</t>
  </si>
  <si>
    <t>Lignipirellula</t>
  </si>
  <si>
    <t>Chlamydiales</t>
  </si>
  <si>
    <t>Enterococcus</t>
  </si>
  <si>
    <t>T3SS_YscJ_HrcJ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</si>
</sst>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0" borderId="0" xfId="0" applyFont="1"/>
    <xf numFmtId="0" fontId="3" fillId="0" borderId="2" xfId="0" applyFont="1" applyBorder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27B2D0-1EBB-3E48-BB11-01A139A7B2F0}" name="Table2" displayName="Table2" ref="A1:E518" totalsRowShown="0" headerRowDxfId="3" headerRowBorderDxfId="2" tableBorderDxfId="1">
  <autoFilter ref="A1:E518" xr:uid="{5527B2D0-1EBB-3E48-BB11-01A139A7B2F0}"/>
  <tableColumns count="5">
    <tableColumn id="1" xr3:uid="{218A10C5-40F3-7C4D-BBA3-1FE92D56DE9F}" name="AccessionNumber"/>
    <tableColumn id="2" xr3:uid="{047D2069-6265-6D4F-9E3C-DAFA60D6F334}" name="Species"/>
    <tableColumn id="3" xr3:uid="{7F3A4DB1-9252-5E4D-80FB-B3C84DBAC1A7}" name="protein_family"/>
    <tableColumn id="4" xr3:uid="{BE407753-7D83-DF4E-BB7F-4956C2B5C3EE}" name="protein">
      <calculatedColumnFormula>A2&amp;"_"&amp;B2&amp;"_"&amp;C2</calculatedColumnFormula>
    </tableColumn>
    <tableColumn id="5" xr3:uid="{E52FA9A3-3CBA-FB45-ACA7-68C2217A23A4}" name="genus_Protei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743D9-02DC-BA4D-8E0C-79D27AD4CF77}" name="Table1" displayName="Table1" ref="A1:G518" totalsRowShown="0">
  <autoFilter ref="A1:G518" xr:uid="{176743D9-02DC-BA4D-8E0C-79D27AD4CF77}"/>
  <tableColumns count="7">
    <tableColumn id="1" xr3:uid="{A058F9AE-6DC6-474D-9FA0-E69EA964AB9A}" name="Acession"/>
    <tableColumn id="2" xr3:uid="{F90D73F3-B440-AF4B-8B2E-7BD57BF78C96}" name="protein"/>
    <tableColumn id="3" xr3:uid="{3245F571-7801-CB47-8ED8-DB045322B5C5}" name="species"/>
    <tableColumn id="4" xr3:uid="{753FCFD9-6CE9-A741-AD37-9F0B03DCF876}" name="protein_family">
      <calculatedColumnFormula array="1">_xlfn.LET(
    _xlpm.searchText, B2,
    _xlpm.matchIndex, MATCH(TRUE, INDEX(ISNUMBER(SEARCH(E:E, _xlpm.searchText)), 0), 0),
    IF(ISNA(_xlpm.matchIndex), "",
       INDEX(F:F, _xlpm.matchIndex)
    )
)</calculatedColumnFormula>
    </tableColumn>
    <tableColumn id="5" xr3:uid="{F83EC24E-0004-EE45-9E7E-3AC4BA0B6223}" name="Keyword"/>
    <tableColumn id="6" xr3:uid="{4666041F-C6A9-4843-B847-E7A16D0B4C16}" name="Category"/>
    <tableColumn id="7" xr3:uid="{A6F62DD7-0CE8-3348-A948-2B2A45A8E8CE}" name="genus" dataDxfId="0">
      <calculatedColumnFormula>IFERROR(_xlfn.TEXTBEFORE(C2, " "), C2)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293A-E4AD-6643-BC27-30F5C2A07F60}">
  <dimension ref="A1:E518"/>
  <sheetViews>
    <sheetView tabSelected="1" topLeftCell="A332" workbookViewId="0">
      <selection activeCell="C365" sqref="C365"/>
    </sheetView>
  </sheetViews>
  <sheetFormatPr baseColWidth="10" defaultRowHeight="16" x14ac:dyDescent="0.2"/>
  <cols>
    <col min="1" max="1" width="18.83203125" customWidth="1"/>
    <col min="2" max="2" width="29.1640625" customWidth="1"/>
    <col min="3" max="3" width="22.33203125" bestFit="1" customWidth="1"/>
    <col min="5" max="5" width="15.33203125" customWidth="1"/>
  </cols>
  <sheetData>
    <row r="1" spans="1:5" x14ac:dyDescent="0.2">
      <c r="A1" s="4" t="s">
        <v>1058</v>
      </c>
      <c r="B1" s="4" t="s">
        <v>1059</v>
      </c>
      <c r="C1" s="4" t="s">
        <v>1057</v>
      </c>
      <c r="D1" s="4" t="s">
        <v>1</v>
      </c>
      <c r="E1" s="4" t="s">
        <v>1060</v>
      </c>
    </row>
    <row r="2" spans="1:5" x14ac:dyDescent="0.2">
      <c r="A2" t="s">
        <v>0</v>
      </c>
      <c r="B2" t="s">
        <v>683</v>
      </c>
      <c r="C2" t="s">
        <v>6</v>
      </c>
      <c r="D2" t="str">
        <f>A2&amp;"_"&amp;B2&amp;"_"&amp;C2</f>
        <v>WP_010965388.1_Clostridium_SpoIIIAF</v>
      </c>
    </row>
    <row r="3" spans="1:5" x14ac:dyDescent="0.2">
      <c r="A3" t="s">
        <v>2</v>
      </c>
      <c r="B3" t="s">
        <v>1065</v>
      </c>
      <c r="C3" t="s">
        <v>6</v>
      </c>
      <c r="D3" t="str">
        <f t="shared" ref="D3:D66" si="0">A3&amp;"_"&amp;B3&amp;"_"&amp;C3</f>
        <v>ADC48381.1_Alkalihalophilus_SpoIIIAF</v>
      </c>
    </row>
    <row r="4" spans="1:5" x14ac:dyDescent="0.2">
      <c r="A4" t="s">
        <v>3</v>
      </c>
      <c r="B4" t="s">
        <v>683</v>
      </c>
      <c r="C4" t="s">
        <v>6</v>
      </c>
      <c r="D4" t="str">
        <f t="shared" si="0"/>
        <v>AAO36131.1_Clostridium_SpoIIIAF</v>
      </c>
    </row>
    <row r="5" spans="1:5" x14ac:dyDescent="0.2">
      <c r="A5" t="s">
        <v>4</v>
      </c>
      <c r="B5" t="s">
        <v>1066</v>
      </c>
      <c r="C5" t="s">
        <v>6</v>
      </c>
      <c r="D5" t="str">
        <f t="shared" si="0"/>
        <v>AAS43162.1_Bacillus_SpoIIIAF</v>
      </c>
    </row>
    <row r="6" spans="1:5" x14ac:dyDescent="0.2">
      <c r="A6" t="s">
        <v>5</v>
      </c>
      <c r="B6" t="s">
        <v>1066</v>
      </c>
      <c r="C6" t="s">
        <v>6</v>
      </c>
      <c r="D6" t="str">
        <f t="shared" si="0"/>
        <v>AAU41483.1_Bacillus_SpoIIIAF</v>
      </c>
    </row>
    <row r="7" spans="1:5" x14ac:dyDescent="0.2">
      <c r="A7" t="s">
        <v>7</v>
      </c>
      <c r="B7" t="s">
        <v>1066</v>
      </c>
      <c r="C7" t="s">
        <v>120</v>
      </c>
      <c r="D7" t="str">
        <f t="shared" si="0"/>
        <v>CAB14369.1_Bacillus_Sporulation</v>
      </c>
    </row>
    <row r="8" spans="1:5" x14ac:dyDescent="0.2">
      <c r="A8" t="s">
        <v>8</v>
      </c>
      <c r="B8" t="s">
        <v>1067</v>
      </c>
      <c r="C8" t="s">
        <v>6</v>
      </c>
      <c r="D8" t="str">
        <f t="shared" si="0"/>
        <v>BAD76688.1_Geobacillus_SpoIIIAF</v>
      </c>
    </row>
    <row r="9" spans="1:5" x14ac:dyDescent="0.2">
      <c r="A9" t="s">
        <v>9</v>
      </c>
      <c r="B9" t="s">
        <v>1068</v>
      </c>
      <c r="C9" t="s">
        <v>6</v>
      </c>
      <c r="D9" t="str">
        <f t="shared" si="0"/>
        <v>BAD65008.1_Alkalihalobacillus_SpoIIIAF</v>
      </c>
    </row>
    <row r="10" spans="1:5" x14ac:dyDescent="0.2">
      <c r="A10" t="s">
        <v>10</v>
      </c>
      <c r="B10" t="s">
        <v>1069</v>
      </c>
      <c r="C10" t="s">
        <v>6</v>
      </c>
      <c r="D10" t="str">
        <f t="shared" si="0"/>
        <v>BAD40842.1_Symbiobacterium_SpoIIIAF</v>
      </c>
    </row>
    <row r="11" spans="1:5" x14ac:dyDescent="0.2">
      <c r="A11" t="s">
        <v>11</v>
      </c>
      <c r="B11" t="s">
        <v>1070</v>
      </c>
      <c r="C11" t="s">
        <v>120</v>
      </c>
      <c r="D11" t="str">
        <f t="shared" si="0"/>
        <v>BAB06511.1_Halalkalibacterium_Sporulation</v>
      </c>
    </row>
    <row r="12" spans="1:5" x14ac:dyDescent="0.2">
      <c r="A12" t="s">
        <v>12</v>
      </c>
      <c r="B12" t="s">
        <v>1071</v>
      </c>
      <c r="C12" t="s">
        <v>6</v>
      </c>
      <c r="D12" t="str">
        <f t="shared" si="0"/>
        <v>BAC13845.1_Oceanobacillus_SpoIIIAF</v>
      </c>
    </row>
    <row r="13" spans="1:5" x14ac:dyDescent="0.2">
      <c r="A13" t="s">
        <v>13</v>
      </c>
      <c r="B13" t="s">
        <v>1072</v>
      </c>
      <c r="C13" t="s">
        <v>14</v>
      </c>
      <c r="D13" t="str">
        <f t="shared" si="0"/>
        <v>ABY94748.1_Thermoanaerobacter_hypothetical</v>
      </c>
    </row>
    <row r="14" spans="1:5" x14ac:dyDescent="0.2">
      <c r="A14" t="s">
        <v>15</v>
      </c>
      <c r="B14" t="s">
        <v>1073</v>
      </c>
      <c r="C14" t="s">
        <v>6</v>
      </c>
      <c r="D14" t="str">
        <f t="shared" si="0"/>
        <v>ACB85282.1_Natranaerobius_SpoIIIAF</v>
      </c>
    </row>
    <row r="15" spans="1:5" x14ac:dyDescent="0.2">
      <c r="A15" t="s">
        <v>16</v>
      </c>
      <c r="B15" t="s">
        <v>1074</v>
      </c>
      <c r="C15" t="s">
        <v>6</v>
      </c>
      <c r="D15" t="str">
        <f t="shared" si="0"/>
        <v>ACL69379.1_Halothermothrix_SpoIIIAF</v>
      </c>
    </row>
    <row r="16" spans="1:5" x14ac:dyDescent="0.2">
      <c r="A16" t="s">
        <v>17</v>
      </c>
      <c r="B16" t="s">
        <v>1075</v>
      </c>
      <c r="C16" t="s">
        <v>14</v>
      </c>
      <c r="D16" t="str">
        <f t="shared" si="0"/>
        <v>ACL21529.1_Desulfitobacterium_hypothetical</v>
      </c>
    </row>
    <row r="17" spans="1:4" x14ac:dyDescent="0.2">
      <c r="A17" t="s">
        <v>18</v>
      </c>
      <c r="B17" t="s">
        <v>1076</v>
      </c>
      <c r="C17" t="s">
        <v>14</v>
      </c>
      <c r="D17" t="str">
        <f t="shared" si="0"/>
        <v>EEG78332.1_Dethiobacter_hypothetical</v>
      </c>
    </row>
    <row r="18" spans="1:4" x14ac:dyDescent="0.2">
      <c r="A18" t="s">
        <v>19</v>
      </c>
      <c r="B18" t="s">
        <v>1077</v>
      </c>
      <c r="C18" t="s">
        <v>6</v>
      </c>
      <c r="D18" t="str">
        <f t="shared" si="0"/>
        <v>EGO63622.1_Acetonema_SpoIIIAF</v>
      </c>
    </row>
    <row r="19" spans="1:4" x14ac:dyDescent="0.2">
      <c r="A19" t="s">
        <v>20</v>
      </c>
      <c r="B19" t="s">
        <v>1078</v>
      </c>
      <c r="C19" t="s">
        <v>14</v>
      </c>
      <c r="D19" t="str">
        <f t="shared" si="0"/>
        <v>GAK39905.1_Paenibacillus_hypothetical</v>
      </c>
    </row>
    <row r="20" spans="1:4" x14ac:dyDescent="0.2">
      <c r="A20" t="s">
        <v>21</v>
      </c>
      <c r="B20" t="s">
        <v>1079</v>
      </c>
      <c r="C20" t="s">
        <v>6</v>
      </c>
      <c r="D20" t="str">
        <f t="shared" si="0"/>
        <v>AJH79882.1_Weizmannia_SpoIIIAF</v>
      </c>
    </row>
    <row r="21" spans="1:4" x14ac:dyDescent="0.2">
      <c r="A21" t="s">
        <v>22</v>
      </c>
      <c r="B21" t="s">
        <v>683</v>
      </c>
      <c r="C21" t="s">
        <v>6</v>
      </c>
      <c r="D21" t="str">
        <f t="shared" si="0"/>
        <v>ALU37542.1_Clostridium_SpoIIIAF</v>
      </c>
    </row>
    <row r="22" spans="1:4" x14ac:dyDescent="0.2">
      <c r="A22" t="s">
        <v>23</v>
      </c>
      <c r="B22" t="s">
        <v>1080</v>
      </c>
      <c r="C22" t="s">
        <v>14</v>
      </c>
      <c r="D22" t="str">
        <f t="shared" si="0"/>
        <v>BAS28432.1_Limnochorda_hypothetical</v>
      </c>
    </row>
    <row r="23" spans="1:4" x14ac:dyDescent="0.2">
      <c r="A23" t="s">
        <v>24</v>
      </c>
      <c r="B23" t="s">
        <v>1081</v>
      </c>
      <c r="C23" t="s">
        <v>6</v>
      </c>
      <c r="D23" t="str">
        <f t="shared" si="0"/>
        <v>APC08740.1_Moorella_SpoIIIAF</v>
      </c>
    </row>
    <row r="24" spans="1:4" x14ac:dyDescent="0.2">
      <c r="A24" t="s">
        <v>25</v>
      </c>
      <c r="B24" t="s">
        <v>1073</v>
      </c>
      <c r="C24" t="s">
        <v>6</v>
      </c>
      <c r="D24" t="str">
        <f t="shared" si="0"/>
        <v>OWZ84026.1_Natranaerobius_SpoIIIAF</v>
      </c>
    </row>
    <row r="25" spans="1:4" x14ac:dyDescent="0.2">
      <c r="A25" t="s">
        <v>26</v>
      </c>
      <c r="B25" t="s">
        <v>1082</v>
      </c>
      <c r="C25" t="s">
        <v>6</v>
      </c>
      <c r="D25" t="str">
        <f t="shared" si="0"/>
        <v>ATO50947.1_Brevibacillus_SpoIIIAF</v>
      </c>
    </row>
    <row r="26" spans="1:4" x14ac:dyDescent="0.2">
      <c r="A26" t="s">
        <v>27</v>
      </c>
      <c r="B26" t="s">
        <v>1083</v>
      </c>
      <c r="C26" t="s">
        <v>6</v>
      </c>
      <c r="D26" t="str">
        <f t="shared" si="0"/>
        <v>AUO18622.1_Monoglobus_SpoIIIAF</v>
      </c>
    </row>
    <row r="27" spans="1:4" x14ac:dyDescent="0.2">
      <c r="A27" t="s">
        <v>28</v>
      </c>
      <c r="B27" t="s">
        <v>1084</v>
      </c>
      <c r="C27" t="s">
        <v>6</v>
      </c>
      <c r="D27" t="str">
        <f t="shared" si="0"/>
        <v>QAT61770.1_Tissierella_SpoIIIAF</v>
      </c>
    </row>
    <row r="28" spans="1:4" x14ac:dyDescent="0.2">
      <c r="A28" t="s">
        <v>29</v>
      </c>
      <c r="B28" t="s">
        <v>1085</v>
      </c>
      <c r="C28" t="s">
        <v>6</v>
      </c>
      <c r="D28" t="str">
        <f t="shared" si="0"/>
        <v>QNO16149.1_Alkalicella_SpoIIIAF</v>
      </c>
    </row>
    <row r="29" spans="1:4" x14ac:dyDescent="0.2">
      <c r="A29" t="s">
        <v>30</v>
      </c>
      <c r="B29" t="s">
        <v>1086</v>
      </c>
      <c r="C29" t="s">
        <v>6</v>
      </c>
      <c r="D29" t="str">
        <f t="shared" si="0"/>
        <v>UMZ73958.1_Natranaerofaba_SpoIIIAF</v>
      </c>
    </row>
    <row r="30" spans="1:4" x14ac:dyDescent="0.2">
      <c r="A30" t="s">
        <v>31</v>
      </c>
      <c r="B30" t="s">
        <v>1087</v>
      </c>
      <c r="C30" t="s">
        <v>6</v>
      </c>
      <c r="D30" t="str">
        <f t="shared" si="0"/>
        <v>UNC92552.1_Candidatus_SpoIIIAF</v>
      </c>
    </row>
    <row r="31" spans="1:4" x14ac:dyDescent="0.2">
      <c r="A31" t="s">
        <v>32</v>
      </c>
      <c r="B31" t="s">
        <v>1088</v>
      </c>
      <c r="C31" t="s">
        <v>6</v>
      </c>
      <c r="D31" t="str">
        <f t="shared" si="0"/>
        <v>MCQ4635889.1_Anaerovorax_SpoIIIAF</v>
      </c>
    </row>
    <row r="32" spans="1:4" x14ac:dyDescent="0.2">
      <c r="A32" t="s">
        <v>33</v>
      </c>
      <c r="B32" t="s">
        <v>1089</v>
      </c>
      <c r="C32" t="s">
        <v>6</v>
      </c>
      <c r="D32" t="str">
        <f t="shared" si="0"/>
        <v>SHJ67143.1_Anaerobranca_SpoIIIAF</v>
      </c>
    </row>
    <row r="33" spans="1:4" x14ac:dyDescent="0.2">
      <c r="A33" t="s">
        <v>34</v>
      </c>
      <c r="B33" t="s">
        <v>1090</v>
      </c>
      <c r="C33" t="s">
        <v>6</v>
      </c>
      <c r="D33" t="str">
        <f t="shared" si="0"/>
        <v>WP_010166288.1_Epulopiscium_SpoIIIAF</v>
      </c>
    </row>
    <row r="34" spans="1:4" x14ac:dyDescent="0.2">
      <c r="A34" t="s">
        <v>35</v>
      </c>
      <c r="B34" t="s">
        <v>1068</v>
      </c>
      <c r="C34" t="s">
        <v>6</v>
      </c>
      <c r="D34" t="str">
        <f t="shared" si="0"/>
        <v>WP_061948747.1_Alkalihalobacillus_SpoIIIAF</v>
      </c>
    </row>
    <row r="35" spans="1:4" x14ac:dyDescent="0.2">
      <c r="A35" t="s">
        <v>36</v>
      </c>
      <c r="B35" t="s">
        <v>683</v>
      </c>
      <c r="C35" t="s">
        <v>65</v>
      </c>
      <c r="D35" t="str">
        <f t="shared" si="0"/>
        <v>WP_010965386.1_Clostridium_SpoIIIAH</v>
      </c>
    </row>
    <row r="36" spans="1:4" x14ac:dyDescent="0.2">
      <c r="A36" t="s">
        <v>37</v>
      </c>
      <c r="B36" t="s">
        <v>1091</v>
      </c>
      <c r="C36" t="s">
        <v>14</v>
      </c>
      <c r="D36" t="str">
        <f t="shared" si="0"/>
        <v>WP_004799392.1_Amedibacillus_hypothetical</v>
      </c>
    </row>
    <row r="37" spans="1:4" x14ac:dyDescent="0.2">
      <c r="A37" t="s">
        <v>38</v>
      </c>
      <c r="B37" t="s">
        <v>1092</v>
      </c>
      <c r="C37" t="s">
        <v>65</v>
      </c>
      <c r="D37" t="str">
        <f t="shared" si="0"/>
        <v>WP_008789692.1_Coprobacillus_SpoIIIAH</v>
      </c>
    </row>
    <row r="38" spans="1:4" x14ac:dyDescent="0.2">
      <c r="A38" t="s">
        <v>39</v>
      </c>
      <c r="B38" t="s">
        <v>718</v>
      </c>
      <c r="C38" t="s">
        <v>65</v>
      </c>
      <c r="D38" t="str">
        <f t="shared" si="0"/>
        <v>WP_008404261.1_Solibacillus_SpoIIIAH</v>
      </c>
    </row>
    <row r="39" spans="1:4" x14ac:dyDescent="0.2">
      <c r="A39" t="s">
        <v>40</v>
      </c>
      <c r="B39" t="s">
        <v>719</v>
      </c>
      <c r="C39" t="s">
        <v>65</v>
      </c>
      <c r="D39" t="str">
        <f t="shared" si="0"/>
        <v>WP_008179871.1_Bacteria_SpoIIIAH</v>
      </c>
    </row>
    <row r="40" spans="1:4" x14ac:dyDescent="0.2">
      <c r="A40" t="s">
        <v>41</v>
      </c>
      <c r="B40" t="s">
        <v>1066</v>
      </c>
      <c r="C40" t="s">
        <v>65</v>
      </c>
      <c r="D40" t="str">
        <f t="shared" si="0"/>
        <v>WP_041075074.1_Bacillus_SpoIIIAH</v>
      </c>
    </row>
    <row r="41" spans="1:4" x14ac:dyDescent="0.2">
      <c r="A41" t="s">
        <v>42</v>
      </c>
      <c r="B41" t="s">
        <v>1093</v>
      </c>
      <c r="C41" t="s">
        <v>65</v>
      </c>
      <c r="D41" t="str">
        <f t="shared" si="0"/>
        <v>WP_041139296.1_Beduini_SpoIIIAH</v>
      </c>
    </row>
    <row r="42" spans="1:4" x14ac:dyDescent="0.2">
      <c r="A42" t="s">
        <v>43</v>
      </c>
      <c r="B42" t="s">
        <v>743</v>
      </c>
      <c r="C42" t="s">
        <v>65</v>
      </c>
      <c r="D42" t="str">
        <f t="shared" si="0"/>
        <v>WP_053416284.1_Viridibacillus_SpoIIIAH</v>
      </c>
    </row>
    <row r="43" spans="1:4" x14ac:dyDescent="0.2">
      <c r="A43" t="s">
        <v>44</v>
      </c>
      <c r="B43" t="s">
        <v>723</v>
      </c>
      <c r="C43" t="s">
        <v>65</v>
      </c>
      <c r="D43" t="str">
        <f t="shared" si="0"/>
        <v>WP_067209902.1_Sporosarcina_SpoIIIAH</v>
      </c>
    </row>
    <row r="44" spans="1:4" x14ac:dyDescent="0.2">
      <c r="A44" t="s">
        <v>45</v>
      </c>
      <c r="B44" t="s">
        <v>723</v>
      </c>
      <c r="C44" t="s">
        <v>65</v>
      </c>
      <c r="D44" t="str">
        <f t="shared" si="0"/>
        <v>WP_029054557.1_Sporosarcina_SpoIIIAH</v>
      </c>
    </row>
    <row r="45" spans="1:4" x14ac:dyDescent="0.2">
      <c r="A45" t="s">
        <v>46</v>
      </c>
      <c r="B45" t="s">
        <v>725</v>
      </c>
      <c r="C45" t="s">
        <v>65</v>
      </c>
      <c r="D45" t="str">
        <f t="shared" si="0"/>
        <v>WP_096550966.1_Ureibacillus_SpoIIIAH</v>
      </c>
    </row>
    <row r="46" spans="1:4" x14ac:dyDescent="0.2">
      <c r="A46" t="s">
        <v>47</v>
      </c>
      <c r="B46" t="s">
        <v>731</v>
      </c>
      <c r="C46" t="s">
        <v>65</v>
      </c>
      <c r="D46" t="str">
        <f t="shared" si="0"/>
        <v>WP_102691387.1_Rummeliibacillus_SpoIIIAH</v>
      </c>
    </row>
    <row r="47" spans="1:4" x14ac:dyDescent="0.2">
      <c r="A47" t="s">
        <v>48</v>
      </c>
      <c r="B47" t="s">
        <v>727</v>
      </c>
      <c r="C47" t="s">
        <v>65</v>
      </c>
      <c r="D47" t="str">
        <f t="shared" si="0"/>
        <v>WP_024361187.1_Lysinibacillus_SpoIIIAH</v>
      </c>
    </row>
    <row r="48" spans="1:4" x14ac:dyDescent="0.2">
      <c r="A48" t="s">
        <v>49</v>
      </c>
      <c r="B48" t="s">
        <v>728</v>
      </c>
      <c r="C48" t="s">
        <v>65</v>
      </c>
      <c r="D48" t="str">
        <f t="shared" si="0"/>
        <v>WP_066163660.1_Metasolibacillus_SpoIIIAH</v>
      </c>
    </row>
    <row r="49" spans="1:4" x14ac:dyDescent="0.2">
      <c r="A49" t="s">
        <v>50</v>
      </c>
      <c r="B49" t="s">
        <v>1094</v>
      </c>
      <c r="C49" t="s">
        <v>65</v>
      </c>
      <c r="D49" t="str">
        <f t="shared" si="0"/>
        <v>WP_006059104.1_Holdemania_SpoIIIAH</v>
      </c>
    </row>
    <row r="50" spans="1:4" x14ac:dyDescent="0.2">
      <c r="A50" t="s">
        <v>51</v>
      </c>
      <c r="B50" t="s">
        <v>745</v>
      </c>
      <c r="C50" t="s">
        <v>65</v>
      </c>
      <c r="D50" t="str">
        <f t="shared" si="0"/>
        <v>WP_134209598.1_Paenisporosarcina_SpoIIIAH</v>
      </c>
    </row>
    <row r="51" spans="1:4" x14ac:dyDescent="0.2">
      <c r="A51" t="s">
        <v>52</v>
      </c>
      <c r="B51" t="s">
        <v>731</v>
      </c>
      <c r="C51" t="s">
        <v>65</v>
      </c>
      <c r="D51" t="str">
        <f t="shared" si="0"/>
        <v>WP_066786653.1_Rummeliibacillus_SpoIIIAH</v>
      </c>
    </row>
    <row r="52" spans="1:4" x14ac:dyDescent="0.2">
      <c r="A52" t="s">
        <v>53</v>
      </c>
      <c r="B52" t="s">
        <v>732</v>
      </c>
      <c r="C52" t="s">
        <v>65</v>
      </c>
      <c r="D52" t="str">
        <f t="shared" si="0"/>
        <v>WP_144536010.1_Psychrobacillus_SpoIIIAH</v>
      </c>
    </row>
    <row r="53" spans="1:4" x14ac:dyDescent="0.2">
      <c r="A53" t="s">
        <v>54</v>
      </c>
      <c r="B53" t="s">
        <v>732</v>
      </c>
      <c r="C53" t="s">
        <v>65</v>
      </c>
      <c r="D53" t="str">
        <f t="shared" si="0"/>
        <v>WP_151700324.1_Psychrobacillus_SpoIIIAH</v>
      </c>
    </row>
    <row r="54" spans="1:4" x14ac:dyDescent="0.2">
      <c r="A54" t="s">
        <v>55</v>
      </c>
      <c r="B54" t="s">
        <v>734</v>
      </c>
      <c r="C54" t="s">
        <v>65</v>
      </c>
      <c r="D54" t="str">
        <f t="shared" si="0"/>
        <v>WP_002609025.1_Bacillota_SpoIIIAH</v>
      </c>
    </row>
    <row r="55" spans="1:4" x14ac:dyDescent="0.2">
      <c r="A55" t="s">
        <v>56</v>
      </c>
      <c r="B55" t="s">
        <v>1095</v>
      </c>
      <c r="C55" t="s">
        <v>65</v>
      </c>
      <c r="D55" t="str">
        <f t="shared" si="0"/>
        <v>WP_158546477.1_Faecalibacillus_SpoIIIAH</v>
      </c>
    </row>
    <row r="56" spans="1:4" x14ac:dyDescent="0.2">
      <c r="A56" t="s">
        <v>57</v>
      </c>
      <c r="B56" t="s">
        <v>736</v>
      </c>
      <c r="C56" t="s">
        <v>65</v>
      </c>
      <c r="D56" t="str">
        <f t="shared" si="0"/>
        <v>WP_008688524.1_Longicatena_SpoIIIAH</v>
      </c>
    </row>
    <row r="57" spans="1:4" x14ac:dyDescent="0.2">
      <c r="A57" t="s">
        <v>58</v>
      </c>
      <c r="B57" t="s">
        <v>740</v>
      </c>
      <c r="C57" t="s">
        <v>65</v>
      </c>
      <c r="D57" t="str">
        <f t="shared" si="0"/>
        <v>WP_004609799.1_Thomasclavelia_SpoIIIAH</v>
      </c>
    </row>
    <row r="58" spans="1:4" x14ac:dyDescent="0.2">
      <c r="A58" t="s">
        <v>59</v>
      </c>
      <c r="B58" t="s">
        <v>1096</v>
      </c>
      <c r="C58" t="s">
        <v>65</v>
      </c>
      <c r="D58" t="str">
        <f t="shared" si="0"/>
        <v>WP_092051140.1_Bhargavaea_SpoIIIAH</v>
      </c>
    </row>
    <row r="59" spans="1:4" x14ac:dyDescent="0.2">
      <c r="A59" t="s">
        <v>60</v>
      </c>
      <c r="B59" t="s">
        <v>1097</v>
      </c>
      <c r="C59" t="s">
        <v>65</v>
      </c>
      <c r="D59" t="str">
        <f t="shared" si="0"/>
        <v>WP_076757704.1_Edaphobacillus_SpoIIIAH</v>
      </c>
    </row>
    <row r="60" spans="1:4" x14ac:dyDescent="0.2">
      <c r="A60" t="s">
        <v>61</v>
      </c>
      <c r="B60" t="s">
        <v>740</v>
      </c>
      <c r="C60" t="s">
        <v>65</v>
      </c>
      <c r="D60" t="str">
        <f t="shared" si="0"/>
        <v>WP_003538299.1_Thomasclavelia_SpoIIIAH</v>
      </c>
    </row>
    <row r="61" spans="1:4" x14ac:dyDescent="0.2">
      <c r="A61" t="s">
        <v>62</v>
      </c>
      <c r="B61" t="s">
        <v>1065</v>
      </c>
      <c r="C61" t="s">
        <v>120</v>
      </c>
      <c r="D61" t="str">
        <f t="shared" si="0"/>
        <v>ADC48379.1_Alkalihalophilus_Sporulation</v>
      </c>
    </row>
    <row r="62" spans="1:4" x14ac:dyDescent="0.2">
      <c r="A62" t="s">
        <v>63</v>
      </c>
      <c r="B62" t="s">
        <v>1066</v>
      </c>
      <c r="C62" t="s">
        <v>65</v>
      </c>
      <c r="D62" t="str">
        <f t="shared" si="0"/>
        <v>AAS43160.1_Bacillus_SpoIIIAH</v>
      </c>
    </row>
    <row r="63" spans="1:4" x14ac:dyDescent="0.2">
      <c r="A63" t="s">
        <v>64</v>
      </c>
      <c r="B63" t="s">
        <v>1066</v>
      </c>
      <c r="C63" t="s">
        <v>65</v>
      </c>
      <c r="D63" t="str">
        <f t="shared" si="0"/>
        <v>AAU41481.1_Bacillus_SpoIIIAH</v>
      </c>
    </row>
    <row r="64" spans="1:4" x14ac:dyDescent="0.2">
      <c r="A64" t="s">
        <v>66</v>
      </c>
      <c r="B64" t="s">
        <v>1066</v>
      </c>
      <c r="C64" t="s">
        <v>120</v>
      </c>
      <c r="D64" t="str">
        <f t="shared" si="0"/>
        <v>CAB14367.2_Bacillus_Sporulation</v>
      </c>
    </row>
    <row r="65" spans="1:4" x14ac:dyDescent="0.2">
      <c r="A65" t="s">
        <v>67</v>
      </c>
      <c r="B65" t="s">
        <v>1067</v>
      </c>
      <c r="C65" t="s">
        <v>65</v>
      </c>
      <c r="D65" t="str">
        <f t="shared" si="0"/>
        <v>BAD76686.1_Geobacillus_SpoIIIAH</v>
      </c>
    </row>
    <row r="66" spans="1:4" x14ac:dyDescent="0.2">
      <c r="A66" t="s">
        <v>68</v>
      </c>
      <c r="B66" t="s">
        <v>1068</v>
      </c>
      <c r="C66" t="s">
        <v>65</v>
      </c>
      <c r="D66" t="str">
        <f t="shared" si="0"/>
        <v>BAD65006.1_Alkalihalobacillus_SpoIIIAH</v>
      </c>
    </row>
    <row r="67" spans="1:4" x14ac:dyDescent="0.2">
      <c r="A67" t="s">
        <v>69</v>
      </c>
      <c r="B67" t="s">
        <v>1069</v>
      </c>
      <c r="C67" t="s">
        <v>65</v>
      </c>
      <c r="D67" t="str">
        <f t="shared" ref="D67:D130" si="1">A67&amp;"_"&amp;B67&amp;"_"&amp;C67</f>
        <v>BAD40840.1_Symbiobacterium_SpoIIIAH</v>
      </c>
    </row>
    <row r="68" spans="1:4" x14ac:dyDescent="0.2">
      <c r="A68" t="s">
        <v>70</v>
      </c>
      <c r="B68" t="s">
        <v>1070</v>
      </c>
      <c r="C68" t="s">
        <v>120</v>
      </c>
      <c r="D68" t="str">
        <f t="shared" si="1"/>
        <v>BAB06509.1_Halalkalibacterium_Sporulation</v>
      </c>
    </row>
    <row r="69" spans="1:4" x14ac:dyDescent="0.2">
      <c r="A69" t="s">
        <v>71</v>
      </c>
      <c r="B69" t="s">
        <v>1071</v>
      </c>
      <c r="C69" t="s">
        <v>65</v>
      </c>
      <c r="D69" t="str">
        <f t="shared" si="1"/>
        <v>BAC13843.1_Oceanobacillus_SpoIIIAH</v>
      </c>
    </row>
    <row r="70" spans="1:4" x14ac:dyDescent="0.2">
      <c r="A70" t="s">
        <v>72</v>
      </c>
      <c r="B70" t="s">
        <v>1072</v>
      </c>
      <c r="C70" t="s">
        <v>14</v>
      </c>
      <c r="D70" t="str">
        <f t="shared" si="1"/>
        <v>ABY94750.1_Thermoanaerobacter_hypothetical</v>
      </c>
    </row>
    <row r="71" spans="1:4" x14ac:dyDescent="0.2">
      <c r="A71" t="s">
        <v>73</v>
      </c>
      <c r="B71" t="s">
        <v>1073</v>
      </c>
      <c r="C71" t="s">
        <v>14</v>
      </c>
      <c r="D71" t="str">
        <f t="shared" si="1"/>
        <v>ACB85280.1_Natranaerobius_hypothetical</v>
      </c>
    </row>
    <row r="72" spans="1:4" x14ac:dyDescent="0.2">
      <c r="A72" t="s">
        <v>74</v>
      </c>
      <c r="B72" t="s">
        <v>1074</v>
      </c>
      <c r="C72" t="s">
        <v>14</v>
      </c>
      <c r="D72" t="str">
        <f t="shared" si="1"/>
        <v>ACL69381.1_Halothermothrix_hypothetical</v>
      </c>
    </row>
    <row r="73" spans="1:4" x14ac:dyDescent="0.2">
      <c r="A73" t="s">
        <v>75</v>
      </c>
      <c r="B73" t="s">
        <v>1075</v>
      </c>
      <c r="C73" t="s">
        <v>14</v>
      </c>
      <c r="D73" t="str">
        <f t="shared" si="1"/>
        <v>ACL21527.1_Desulfitobacterium_hypothetical</v>
      </c>
    </row>
    <row r="74" spans="1:4" x14ac:dyDescent="0.2">
      <c r="A74" t="s">
        <v>76</v>
      </c>
      <c r="B74" t="s">
        <v>1076</v>
      </c>
      <c r="C74" t="s">
        <v>14</v>
      </c>
      <c r="D74" t="str">
        <f t="shared" si="1"/>
        <v>EEG78330.1_Dethiobacter_hypothetical</v>
      </c>
    </row>
    <row r="75" spans="1:4" x14ac:dyDescent="0.2">
      <c r="A75" t="s">
        <v>77</v>
      </c>
      <c r="B75" t="s">
        <v>1077</v>
      </c>
      <c r="C75" t="s">
        <v>14</v>
      </c>
      <c r="D75" t="str">
        <f t="shared" si="1"/>
        <v>EGO63624.1_Acetonema_hypothetical</v>
      </c>
    </row>
    <row r="76" spans="1:4" x14ac:dyDescent="0.2">
      <c r="A76" t="s">
        <v>78</v>
      </c>
      <c r="B76" t="s">
        <v>1068</v>
      </c>
      <c r="C76" t="s">
        <v>14</v>
      </c>
      <c r="D76" t="str">
        <f t="shared" si="1"/>
        <v>KGA97905.1_Alkalihalobacillus_hypothetical</v>
      </c>
    </row>
    <row r="77" spans="1:4" x14ac:dyDescent="0.2">
      <c r="A77" t="s">
        <v>79</v>
      </c>
      <c r="B77" t="s">
        <v>1078</v>
      </c>
      <c r="C77" t="s">
        <v>14</v>
      </c>
      <c r="D77" t="str">
        <f t="shared" si="1"/>
        <v>GAK39907.1_Paenibacillus_hypothetical</v>
      </c>
    </row>
    <row r="78" spans="1:4" x14ac:dyDescent="0.2">
      <c r="A78" t="s">
        <v>80</v>
      </c>
      <c r="B78" t="s">
        <v>1079</v>
      </c>
      <c r="C78" t="s">
        <v>65</v>
      </c>
      <c r="D78" t="str">
        <f t="shared" si="1"/>
        <v>AJH78695.1_Weizmannia_SpoIIIAH</v>
      </c>
    </row>
    <row r="79" spans="1:4" x14ac:dyDescent="0.2">
      <c r="A79" t="s">
        <v>81</v>
      </c>
      <c r="B79" t="s">
        <v>683</v>
      </c>
      <c r="C79" t="s">
        <v>65</v>
      </c>
      <c r="D79" t="str">
        <f t="shared" si="1"/>
        <v>ALU37544.1_Clostridium_SpoIIIAH</v>
      </c>
    </row>
    <row r="80" spans="1:4" x14ac:dyDescent="0.2">
      <c r="A80" t="s">
        <v>82</v>
      </c>
      <c r="B80" t="s">
        <v>1081</v>
      </c>
      <c r="C80" t="s">
        <v>65</v>
      </c>
      <c r="D80" t="str">
        <f t="shared" si="1"/>
        <v>APC08738.1_Moorella_SpoIIIAH</v>
      </c>
    </row>
    <row r="81" spans="1:4" x14ac:dyDescent="0.2">
      <c r="A81" t="s">
        <v>83</v>
      </c>
      <c r="B81" t="s">
        <v>1073</v>
      </c>
      <c r="C81" t="s">
        <v>14</v>
      </c>
      <c r="D81" t="str">
        <f t="shared" si="1"/>
        <v>OWZ84024.1_Natranaerobius_hypothetical</v>
      </c>
    </row>
    <row r="82" spans="1:4" x14ac:dyDescent="0.2">
      <c r="A82" t="s">
        <v>84</v>
      </c>
      <c r="B82" t="s">
        <v>1082</v>
      </c>
      <c r="C82" t="s">
        <v>65</v>
      </c>
      <c r="D82" t="str">
        <f t="shared" si="1"/>
        <v>ATO50949.1_Brevibacillus_SpoIIIAH</v>
      </c>
    </row>
    <row r="83" spans="1:4" x14ac:dyDescent="0.2">
      <c r="A83" t="s">
        <v>85</v>
      </c>
      <c r="B83" t="s">
        <v>1083</v>
      </c>
      <c r="C83" t="s">
        <v>65</v>
      </c>
      <c r="D83" t="str">
        <f t="shared" si="1"/>
        <v>AUO18620.1_Monoglobus_SpoIIIAH</v>
      </c>
    </row>
    <row r="84" spans="1:4" x14ac:dyDescent="0.2">
      <c r="A84" t="s">
        <v>86</v>
      </c>
      <c r="B84" t="s">
        <v>1084</v>
      </c>
      <c r="C84" t="s">
        <v>65</v>
      </c>
      <c r="D84" t="str">
        <f t="shared" si="1"/>
        <v>QAT61768.1_Tissierella_SpoIIIAH</v>
      </c>
    </row>
    <row r="85" spans="1:4" x14ac:dyDescent="0.2">
      <c r="A85" t="s">
        <v>87</v>
      </c>
      <c r="B85" t="s">
        <v>1098</v>
      </c>
      <c r="C85" t="s">
        <v>14</v>
      </c>
      <c r="D85" t="str">
        <f t="shared" si="1"/>
        <v>QJS20168.1_Turicibacter_hypothetical</v>
      </c>
    </row>
    <row r="86" spans="1:4" x14ac:dyDescent="0.2">
      <c r="A86" t="s">
        <v>88</v>
      </c>
      <c r="B86" t="s">
        <v>1085</v>
      </c>
      <c r="C86" t="s">
        <v>65</v>
      </c>
      <c r="D86" t="str">
        <f t="shared" si="1"/>
        <v>QNO16151.1_Alkalicella_SpoIIIAH</v>
      </c>
    </row>
    <row r="87" spans="1:4" x14ac:dyDescent="0.2">
      <c r="A87" t="s">
        <v>89</v>
      </c>
      <c r="B87" t="s">
        <v>1086</v>
      </c>
      <c r="C87" t="s">
        <v>65</v>
      </c>
      <c r="D87" t="str">
        <f t="shared" si="1"/>
        <v>UMZ73956.1_Natranaerofaba_SpoIIIAH</v>
      </c>
    </row>
    <row r="88" spans="1:4" x14ac:dyDescent="0.2">
      <c r="A88" t="s">
        <v>90</v>
      </c>
      <c r="B88" t="s">
        <v>1087</v>
      </c>
      <c r="C88" t="s">
        <v>65</v>
      </c>
      <c r="D88" t="str">
        <f t="shared" si="1"/>
        <v>UNC92550.1_Candidatus_SpoIIIAH</v>
      </c>
    </row>
    <row r="89" spans="1:4" x14ac:dyDescent="0.2">
      <c r="A89" t="s">
        <v>91</v>
      </c>
      <c r="B89" t="s">
        <v>1088</v>
      </c>
      <c r="C89" t="s">
        <v>65</v>
      </c>
      <c r="D89" t="str">
        <f t="shared" si="1"/>
        <v>MCQ4635887.1_Anaerovorax_SpoIIIAH</v>
      </c>
    </row>
    <row r="90" spans="1:4" x14ac:dyDescent="0.2">
      <c r="A90" t="s">
        <v>92</v>
      </c>
      <c r="B90" t="s">
        <v>1089</v>
      </c>
      <c r="C90" t="s">
        <v>65</v>
      </c>
      <c r="D90" t="str">
        <f t="shared" si="1"/>
        <v>SHJ67084.1_Anaerobranca_SpoIIIAH</v>
      </c>
    </row>
    <row r="91" spans="1:4" x14ac:dyDescent="0.2">
      <c r="A91" t="s">
        <v>93</v>
      </c>
      <c r="B91" t="s">
        <v>1090</v>
      </c>
      <c r="C91" t="s">
        <v>65</v>
      </c>
      <c r="D91" t="str">
        <f t="shared" si="1"/>
        <v>WP_010166290.1_Epulopiscium_SpoIIIAH</v>
      </c>
    </row>
    <row r="92" spans="1:4" x14ac:dyDescent="0.2">
      <c r="A92" t="s">
        <v>94</v>
      </c>
      <c r="B92" t="s">
        <v>1068</v>
      </c>
      <c r="C92" t="s">
        <v>65</v>
      </c>
      <c r="D92" t="str">
        <f t="shared" si="1"/>
        <v>WP_061948745.1_Alkalihalobacillus_SpoIIIAH</v>
      </c>
    </row>
    <row r="93" spans="1:4" x14ac:dyDescent="0.2">
      <c r="A93" t="s">
        <v>95</v>
      </c>
      <c r="B93" t="s">
        <v>683</v>
      </c>
      <c r="C93" t="s">
        <v>110</v>
      </c>
      <c r="D93" t="str">
        <f t="shared" si="1"/>
        <v>WP_010965387.1_Clostridium_SpoIIIAG</v>
      </c>
    </row>
    <row r="94" spans="1:4" x14ac:dyDescent="0.2">
      <c r="A94" t="s">
        <v>96</v>
      </c>
      <c r="B94" t="s">
        <v>718</v>
      </c>
      <c r="C94" t="s">
        <v>110</v>
      </c>
      <c r="D94" t="str">
        <f t="shared" si="1"/>
        <v>WP_008404262.1_Solibacillus_SpoIIIAG</v>
      </c>
    </row>
    <row r="95" spans="1:4" x14ac:dyDescent="0.2">
      <c r="A95" t="s">
        <v>97</v>
      </c>
      <c r="B95" t="s">
        <v>719</v>
      </c>
      <c r="C95" t="s">
        <v>14</v>
      </c>
      <c r="D95" t="str">
        <f t="shared" si="1"/>
        <v>WP_008179869.1_Bacteria_hypothetical</v>
      </c>
    </row>
    <row r="96" spans="1:4" x14ac:dyDescent="0.2">
      <c r="A96" t="s">
        <v>98</v>
      </c>
      <c r="B96" t="s">
        <v>743</v>
      </c>
      <c r="C96" t="s">
        <v>14</v>
      </c>
      <c r="D96" t="str">
        <f t="shared" si="1"/>
        <v>WP_053416285.1_Viridibacillus_hypothetical</v>
      </c>
    </row>
    <row r="97" spans="1:4" x14ac:dyDescent="0.2">
      <c r="A97" t="s">
        <v>99</v>
      </c>
      <c r="B97" t="s">
        <v>723</v>
      </c>
      <c r="C97" t="s">
        <v>14</v>
      </c>
      <c r="D97" t="str">
        <f t="shared" si="1"/>
        <v>WP_067209905.1_Sporosarcina_hypothetical</v>
      </c>
    </row>
    <row r="98" spans="1:4" x14ac:dyDescent="0.2">
      <c r="A98" t="s">
        <v>100</v>
      </c>
      <c r="B98" t="s">
        <v>731</v>
      </c>
      <c r="C98" t="s">
        <v>14</v>
      </c>
      <c r="D98" t="str">
        <f t="shared" si="1"/>
        <v>WP_102691386.1_Rummeliibacillus_hypothetical</v>
      </c>
    </row>
    <row r="99" spans="1:4" x14ac:dyDescent="0.2">
      <c r="A99" t="s">
        <v>101</v>
      </c>
      <c r="B99" t="s">
        <v>727</v>
      </c>
      <c r="C99" t="s">
        <v>14</v>
      </c>
      <c r="D99" t="str">
        <f t="shared" si="1"/>
        <v>WP_024361188.1_Lysinibacillus_hypothetical</v>
      </c>
    </row>
    <row r="100" spans="1:4" x14ac:dyDescent="0.2">
      <c r="A100" t="s">
        <v>102</v>
      </c>
      <c r="B100" t="s">
        <v>728</v>
      </c>
      <c r="C100" t="s">
        <v>14</v>
      </c>
      <c r="D100" t="str">
        <f t="shared" si="1"/>
        <v>WP_066163661.1_Metasolibacillus_hypothetical</v>
      </c>
    </row>
    <row r="101" spans="1:4" x14ac:dyDescent="0.2">
      <c r="A101" t="s">
        <v>103</v>
      </c>
      <c r="B101" t="s">
        <v>745</v>
      </c>
      <c r="C101" t="s">
        <v>14</v>
      </c>
      <c r="D101" t="str">
        <f t="shared" si="1"/>
        <v>WP_017380071.1_Paenisporosarcina_hypothetical</v>
      </c>
    </row>
    <row r="102" spans="1:4" x14ac:dyDescent="0.2">
      <c r="A102" t="s">
        <v>104</v>
      </c>
      <c r="B102" t="s">
        <v>731</v>
      </c>
      <c r="C102" t="s">
        <v>14</v>
      </c>
      <c r="D102" t="str">
        <f t="shared" si="1"/>
        <v>WP_147193618.1_Rummeliibacillus_hypothetical</v>
      </c>
    </row>
    <row r="103" spans="1:4" x14ac:dyDescent="0.2">
      <c r="A103" t="s">
        <v>105</v>
      </c>
      <c r="B103" t="s">
        <v>732</v>
      </c>
      <c r="C103" t="s">
        <v>14</v>
      </c>
      <c r="D103" t="str">
        <f t="shared" si="1"/>
        <v>WP_144536008.1_Psychrobacillus_hypothetical</v>
      </c>
    </row>
    <row r="104" spans="1:4" x14ac:dyDescent="0.2">
      <c r="A104" t="s">
        <v>106</v>
      </c>
      <c r="B104" t="s">
        <v>1065</v>
      </c>
      <c r="C104" t="s">
        <v>120</v>
      </c>
      <c r="D104" t="str">
        <f t="shared" si="1"/>
        <v>ADC48380.1_Alkalihalophilus_Sporulation</v>
      </c>
    </row>
    <row r="105" spans="1:4" x14ac:dyDescent="0.2">
      <c r="A105" t="s">
        <v>107</v>
      </c>
      <c r="B105" t="s">
        <v>683</v>
      </c>
      <c r="C105" t="s">
        <v>110</v>
      </c>
      <c r="D105" t="str">
        <f t="shared" si="1"/>
        <v>AAO36130.1_Clostridium_SpoIIIAG</v>
      </c>
    </row>
    <row r="106" spans="1:4" x14ac:dyDescent="0.2">
      <c r="A106" t="s">
        <v>108</v>
      </c>
      <c r="B106" t="s">
        <v>1066</v>
      </c>
      <c r="C106" t="s">
        <v>110</v>
      </c>
      <c r="D106" t="str">
        <f t="shared" si="1"/>
        <v>AAS43161.1_Bacillus_SpoIIIAG</v>
      </c>
    </row>
    <row r="107" spans="1:4" x14ac:dyDescent="0.2">
      <c r="A107" t="s">
        <v>109</v>
      </c>
      <c r="B107" t="s">
        <v>1066</v>
      </c>
      <c r="C107" t="s">
        <v>110</v>
      </c>
      <c r="D107" t="str">
        <f t="shared" si="1"/>
        <v>AAU41482.1_Bacillus_SpoIIIAG</v>
      </c>
    </row>
    <row r="108" spans="1:4" x14ac:dyDescent="0.2">
      <c r="A108" t="s">
        <v>111</v>
      </c>
      <c r="B108" t="s">
        <v>1066</v>
      </c>
      <c r="C108" t="s">
        <v>120</v>
      </c>
      <c r="D108" t="str">
        <f t="shared" si="1"/>
        <v>CAB14368.2_Bacillus_Sporulation</v>
      </c>
    </row>
    <row r="109" spans="1:4" x14ac:dyDescent="0.2">
      <c r="A109" t="s">
        <v>112</v>
      </c>
      <c r="B109" t="s">
        <v>1067</v>
      </c>
      <c r="C109" t="s">
        <v>110</v>
      </c>
      <c r="D109" t="str">
        <f t="shared" si="1"/>
        <v>BAD76687.1_Geobacillus_SpoIIIAG</v>
      </c>
    </row>
    <row r="110" spans="1:4" x14ac:dyDescent="0.2">
      <c r="A110" t="s">
        <v>113</v>
      </c>
      <c r="B110" t="s">
        <v>1068</v>
      </c>
      <c r="C110" t="s">
        <v>110</v>
      </c>
      <c r="D110" t="str">
        <f t="shared" si="1"/>
        <v>BAD65007.1_Alkalihalobacillus_SpoIIIAG</v>
      </c>
    </row>
    <row r="111" spans="1:4" x14ac:dyDescent="0.2">
      <c r="A111" t="s">
        <v>114</v>
      </c>
      <c r="B111" t="s">
        <v>1069</v>
      </c>
      <c r="C111" t="s">
        <v>110</v>
      </c>
      <c r="D111" t="str">
        <f t="shared" si="1"/>
        <v>BAD40841.1_Symbiobacterium_SpoIIIAG</v>
      </c>
    </row>
    <row r="112" spans="1:4" x14ac:dyDescent="0.2">
      <c r="A112" t="s">
        <v>115</v>
      </c>
      <c r="B112" t="s">
        <v>1070</v>
      </c>
      <c r="C112" t="s">
        <v>120</v>
      </c>
      <c r="D112" t="str">
        <f t="shared" si="1"/>
        <v>BAB06510.1_Halalkalibacterium_Sporulation</v>
      </c>
    </row>
    <row r="113" spans="1:4" x14ac:dyDescent="0.2">
      <c r="A113" t="s">
        <v>116</v>
      </c>
      <c r="B113" t="s">
        <v>1071</v>
      </c>
      <c r="C113" t="s">
        <v>110</v>
      </c>
      <c r="D113" t="str">
        <f t="shared" si="1"/>
        <v>BAC13844.1_Oceanobacillus_SpoIIIAG</v>
      </c>
    </row>
    <row r="114" spans="1:4" x14ac:dyDescent="0.2">
      <c r="A114" t="s">
        <v>117</v>
      </c>
      <c r="B114" t="s">
        <v>1072</v>
      </c>
      <c r="C114" t="s">
        <v>14</v>
      </c>
      <c r="D114" t="str">
        <f t="shared" si="1"/>
        <v>ABY94749.1_Thermoanaerobacter_hypothetical</v>
      </c>
    </row>
    <row r="115" spans="1:4" x14ac:dyDescent="0.2">
      <c r="A115" t="s">
        <v>118</v>
      </c>
      <c r="B115" t="s">
        <v>1073</v>
      </c>
      <c r="C115" t="s">
        <v>110</v>
      </c>
      <c r="D115" t="str">
        <f t="shared" si="1"/>
        <v>ACB85281.1_Natranaerobius_SpoIIIAG</v>
      </c>
    </row>
    <row r="116" spans="1:4" x14ac:dyDescent="0.2">
      <c r="A116" t="s">
        <v>119</v>
      </c>
      <c r="B116" t="s">
        <v>1074</v>
      </c>
      <c r="C116" t="s">
        <v>110</v>
      </c>
      <c r="D116" t="str">
        <f t="shared" si="1"/>
        <v>ACL69380.1_Halothermothrix_SpoIIIAG</v>
      </c>
    </row>
    <row r="117" spans="1:4" x14ac:dyDescent="0.2">
      <c r="A117" t="s">
        <v>121</v>
      </c>
      <c r="B117" t="s">
        <v>1075</v>
      </c>
      <c r="C117" t="s">
        <v>110</v>
      </c>
      <c r="D117" t="str">
        <f t="shared" si="1"/>
        <v>ACL21528.1_Desulfitobacterium_SpoIIIAG</v>
      </c>
    </row>
    <row r="118" spans="1:4" x14ac:dyDescent="0.2">
      <c r="A118" t="s">
        <v>122</v>
      </c>
      <c r="B118" t="s">
        <v>1099</v>
      </c>
      <c r="C118" t="s">
        <v>14</v>
      </c>
      <c r="D118" t="str">
        <f t="shared" si="1"/>
        <v>ADL42805.1_Caldicellulosiruptor_hypothetical</v>
      </c>
    </row>
    <row r="119" spans="1:4" x14ac:dyDescent="0.2">
      <c r="A119" t="s">
        <v>123</v>
      </c>
      <c r="B119" t="s">
        <v>1076</v>
      </c>
      <c r="C119" t="s">
        <v>110</v>
      </c>
      <c r="D119" t="str">
        <f t="shared" si="1"/>
        <v>EEG78331.1_Dethiobacter_SpoIIIAG</v>
      </c>
    </row>
    <row r="120" spans="1:4" x14ac:dyDescent="0.2">
      <c r="A120" t="s">
        <v>124</v>
      </c>
      <c r="B120" t="s">
        <v>1066</v>
      </c>
      <c r="C120" t="s">
        <v>110</v>
      </c>
      <c r="D120" t="str">
        <f t="shared" si="1"/>
        <v>BAI85956.1_Bacillus_SpoIIIAG</v>
      </c>
    </row>
    <row r="121" spans="1:4" x14ac:dyDescent="0.2">
      <c r="A121" t="s">
        <v>125</v>
      </c>
      <c r="B121" t="s">
        <v>1077</v>
      </c>
      <c r="C121" t="s">
        <v>14</v>
      </c>
      <c r="D121" t="str">
        <f t="shared" si="1"/>
        <v>EGO63623.1_Acetonema_hypothetical</v>
      </c>
    </row>
    <row r="122" spans="1:4" x14ac:dyDescent="0.2">
      <c r="A122" t="s">
        <v>126</v>
      </c>
      <c r="B122" t="s">
        <v>1068</v>
      </c>
      <c r="C122" t="s">
        <v>110</v>
      </c>
      <c r="D122" t="str">
        <f t="shared" si="1"/>
        <v>KGA97906.1_Alkalihalobacillus_SpoIIIAG</v>
      </c>
    </row>
    <row r="123" spans="1:4" x14ac:dyDescent="0.2">
      <c r="A123" t="s">
        <v>127</v>
      </c>
      <c r="B123" t="s">
        <v>1078</v>
      </c>
      <c r="C123" t="s">
        <v>110</v>
      </c>
      <c r="D123" t="str">
        <f t="shared" si="1"/>
        <v>GAK39906.1_Paenibacillus_SpoIIIAG</v>
      </c>
    </row>
    <row r="124" spans="1:4" x14ac:dyDescent="0.2">
      <c r="A124" t="s">
        <v>128</v>
      </c>
      <c r="B124" t="s">
        <v>1079</v>
      </c>
      <c r="C124" t="s">
        <v>110</v>
      </c>
      <c r="D124" t="str">
        <f t="shared" si="1"/>
        <v>AJH78041.1_Weizmannia_SpoIIIAG</v>
      </c>
    </row>
    <row r="125" spans="1:4" x14ac:dyDescent="0.2">
      <c r="A125" t="s">
        <v>129</v>
      </c>
      <c r="B125" t="s">
        <v>683</v>
      </c>
      <c r="C125" t="s">
        <v>110</v>
      </c>
      <c r="D125" t="str">
        <f t="shared" si="1"/>
        <v>ALU37543.1_Clostridium_SpoIIIAG</v>
      </c>
    </row>
    <row r="126" spans="1:4" x14ac:dyDescent="0.2">
      <c r="A126" t="s">
        <v>130</v>
      </c>
      <c r="B126" t="s">
        <v>1080</v>
      </c>
      <c r="C126" t="s">
        <v>110</v>
      </c>
      <c r="D126" t="str">
        <f t="shared" si="1"/>
        <v>BAS28431.1_Limnochorda_SpoIIIAG</v>
      </c>
    </row>
    <row r="127" spans="1:4" x14ac:dyDescent="0.2">
      <c r="A127" t="s">
        <v>131</v>
      </c>
      <c r="B127" t="s">
        <v>1081</v>
      </c>
      <c r="C127" t="s">
        <v>14</v>
      </c>
      <c r="D127" t="str">
        <f t="shared" si="1"/>
        <v>APC08739.1_Moorella_hypothetical</v>
      </c>
    </row>
    <row r="128" spans="1:4" x14ac:dyDescent="0.2">
      <c r="A128" t="s">
        <v>132</v>
      </c>
      <c r="B128" t="s">
        <v>1073</v>
      </c>
      <c r="C128" t="s">
        <v>14</v>
      </c>
      <c r="D128" t="str">
        <f t="shared" si="1"/>
        <v>OWZ84025.1_Natranaerobius_hypothetical</v>
      </c>
    </row>
    <row r="129" spans="1:4" x14ac:dyDescent="0.2">
      <c r="A129" t="s">
        <v>133</v>
      </c>
      <c r="B129" t="s">
        <v>1082</v>
      </c>
      <c r="C129" t="s">
        <v>110</v>
      </c>
      <c r="D129" t="str">
        <f t="shared" si="1"/>
        <v>ATO50948.1_Brevibacillus_SpoIIIAG</v>
      </c>
    </row>
    <row r="130" spans="1:4" x14ac:dyDescent="0.2">
      <c r="A130" t="s">
        <v>134</v>
      </c>
      <c r="B130" t="s">
        <v>1083</v>
      </c>
      <c r="C130" t="s">
        <v>110</v>
      </c>
      <c r="D130" t="str">
        <f t="shared" si="1"/>
        <v>AUO18621.1_Monoglobus_SpoIIIAG</v>
      </c>
    </row>
    <row r="131" spans="1:4" x14ac:dyDescent="0.2">
      <c r="A131" t="s">
        <v>135</v>
      </c>
      <c r="B131" t="s">
        <v>1084</v>
      </c>
      <c r="C131" t="s">
        <v>110</v>
      </c>
      <c r="D131" t="str">
        <f t="shared" ref="D131:D194" si="2">A131&amp;"_"&amp;B131&amp;"_"&amp;C131</f>
        <v>QAT61769.1_Tissierella_SpoIIIAG</v>
      </c>
    </row>
    <row r="132" spans="1:4" x14ac:dyDescent="0.2">
      <c r="A132" t="s">
        <v>136</v>
      </c>
      <c r="B132" t="s">
        <v>1085</v>
      </c>
      <c r="C132" t="s">
        <v>110</v>
      </c>
      <c r="D132" t="str">
        <f t="shared" si="2"/>
        <v>QNO16150.1_Alkalicella_SpoIIIAG</v>
      </c>
    </row>
    <row r="133" spans="1:4" x14ac:dyDescent="0.2">
      <c r="A133" t="s">
        <v>137</v>
      </c>
      <c r="B133" t="s">
        <v>1086</v>
      </c>
      <c r="C133" t="s">
        <v>110</v>
      </c>
      <c r="D133" t="str">
        <f t="shared" si="2"/>
        <v>UMZ73957.1_Natranaerofaba_SpoIIIAG</v>
      </c>
    </row>
    <row r="134" spans="1:4" x14ac:dyDescent="0.2">
      <c r="A134" t="s">
        <v>138</v>
      </c>
      <c r="B134" t="s">
        <v>1087</v>
      </c>
      <c r="C134" t="s">
        <v>110</v>
      </c>
      <c r="D134" t="str">
        <f t="shared" si="2"/>
        <v>UNC92551.1_Candidatus_SpoIIIAG</v>
      </c>
    </row>
    <row r="135" spans="1:4" x14ac:dyDescent="0.2">
      <c r="A135" t="s">
        <v>139</v>
      </c>
      <c r="B135" t="s">
        <v>1088</v>
      </c>
      <c r="C135" t="s">
        <v>14</v>
      </c>
      <c r="D135" t="str">
        <f t="shared" si="2"/>
        <v>MCQ4635888.1_Anaerovorax_hypothetical</v>
      </c>
    </row>
    <row r="136" spans="1:4" x14ac:dyDescent="0.2">
      <c r="A136" t="s">
        <v>140</v>
      </c>
      <c r="B136" t="s">
        <v>1089</v>
      </c>
      <c r="C136" t="s">
        <v>110</v>
      </c>
      <c r="D136" t="str">
        <f t="shared" si="2"/>
        <v>SHJ67115.1_Anaerobranca_SpoIIIAG</v>
      </c>
    </row>
    <row r="137" spans="1:4" x14ac:dyDescent="0.2">
      <c r="A137" t="s">
        <v>141</v>
      </c>
      <c r="B137" t="s">
        <v>1090</v>
      </c>
      <c r="C137" t="s">
        <v>14</v>
      </c>
      <c r="D137" t="str">
        <f t="shared" si="2"/>
        <v>WP_010166289.1_Epulopiscium_hypothetical</v>
      </c>
    </row>
    <row r="138" spans="1:4" x14ac:dyDescent="0.2">
      <c r="A138" t="s">
        <v>142</v>
      </c>
      <c r="B138" t="s">
        <v>1068</v>
      </c>
      <c r="C138" t="s">
        <v>110</v>
      </c>
      <c r="D138" t="str">
        <f t="shared" si="2"/>
        <v>WP_061948746.1_Alkalihalobacillus_SpoIIIAG</v>
      </c>
    </row>
    <row r="139" spans="1:4" x14ac:dyDescent="0.2">
      <c r="A139" t="s">
        <v>143</v>
      </c>
      <c r="B139" t="s">
        <v>683</v>
      </c>
      <c r="C139" t="s">
        <v>144</v>
      </c>
      <c r="D139" t="str">
        <f t="shared" si="2"/>
        <v>WP_010965461.1_Clostridium_FliF</v>
      </c>
    </row>
    <row r="140" spans="1:4" x14ac:dyDescent="0.2">
      <c r="A140" t="s">
        <v>145</v>
      </c>
      <c r="B140" t="s">
        <v>727</v>
      </c>
      <c r="C140" t="s">
        <v>144</v>
      </c>
      <c r="D140" t="str">
        <f t="shared" si="2"/>
        <v>WP_036123974.1_Lysinibacillus_FliF</v>
      </c>
    </row>
    <row r="141" spans="1:4" x14ac:dyDescent="0.2">
      <c r="A141" t="s">
        <v>146</v>
      </c>
      <c r="B141" t="s">
        <v>1066</v>
      </c>
      <c r="C141" t="s">
        <v>144</v>
      </c>
      <c r="D141" t="str">
        <f t="shared" si="2"/>
        <v>WP_041074053.1_Bacillus_FliF</v>
      </c>
    </row>
    <row r="142" spans="1:4" x14ac:dyDescent="0.2">
      <c r="A142" t="s">
        <v>147</v>
      </c>
      <c r="B142" t="s">
        <v>743</v>
      </c>
      <c r="C142" t="s">
        <v>144</v>
      </c>
      <c r="D142" t="str">
        <f t="shared" si="2"/>
        <v>WP_053417471.1_Viridibacillus_FliF</v>
      </c>
    </row>
    <row r="143" spans="1:4" x14ac:dyDescent="0.2">
      <c r="A143" t="s">
        <v>148</v>
      </c>
      <c r="B143" t="s">
        <v>723</v>
      </c>
      <c r="C143" t="s">
        <v>144</v>
      </c>
      <c r="D143" t="str">
        <f t="shared" si="2"/>
        <v>WP_067211250.1_Sporosarcina_FliF</v>
      </c>
    </row>
    <row r="144" spans="1:4" x14ac:dyDescent="0.2">
      <c r="A144" t="s">
        <v>149</v>
      </c>
      <c r="B144" t="s">
        <v>725</v>
      </c>
      <c r="C144" t="s">
        <v>144</v>
      </c>
      <c r="D144" t="str">
        <f t="shared" si="2"/>
        <v>WP_096550656.1_Ureibacillus_FliF</v>
      </c>
    </row>
    <row r="145" spans="1:4" x14ac:dyDescent="0.2">
      <c r="A145" t="s">
        <v>150</v>
      </c>
      <c r="B145" t="s">
        <v>727</v>
      </c>
      <c r="C145" t="s">
        <v>144</v>
      </c>
      <c r="D145" t="str">
        <f t="shared" si="2"/>
        <v>WP_105928922.1_Lysinibacillus_FliF</v>
      </c>
    </row>
    <row r="146" spans="1:4" x14ac:dyDescent="0.2">
      <c r="A146" t="s">
        <v>151</v>
      </c>
      <c r="B146" t="s">
        <v>728</v>
      </c>
      <c r="C146" t="s">
        <v>144</v>
      </c>
      <c r="D146" t="str">
        <f t="shared" si="2"/>
        <v>WP_066170015.1_Metasolibacillus_FliF</v>
      </c>
    </row>
    <row r="147" spans="1:4" x14ac:dyDescent="0.2">
      <c r="A147" t="s">
        <v>152</v>
      </c>
      <c r="B147" t="s">
        <v>732</v>
      </c>
      <c r="C147" t="s">
        <v>144</v>
      </c>
      <c r="D147" t="str">
        <f t="shared" si="2"/>
        <v>WP_151110558.1_Psychrobacillus_FliF</v>
      </c>
    </row>
    <row r="148" spans="1:4" x14ac:dyDescent="0.2">
      <c r="A148" t="s">
        <v>153</v>
      </c>
      <c r="B148" t="s">
        <v>732</v>
      </c>
      <c r="C148" t="s">
        <v>144</v>
      </c>
      <c r="D148" t="str">
        <f t="shared" si="2"/>
        <v>WP_151699469.1_Psychrobacillus_FliF</v>
      </c>
    </row>
    <row r="149" spans="1:4" x14ac:dyDescent="0.2">
      <c r="A149" t="s">
        <v>154</v>
      </c>
      <c r="B149" t="s">
        <v>1065</v>
      </c>
      <c r="C149" t="s">
        <v>144</v>
      </c>
      <c r="D149" t="str">
        <f t="shared" si="2"/>
        <v>ADC48108.1_Alkalihalophilus_FliF</v>
      </c>
    </row>
    <row r="150" spans="1:4" x14ac:dyDescent="0.2">
      <c r="A150" t="s">
        <v>156</v>
      </c>
      <c r="B150" t="s">
        <v>1100</v>
      </c>
      <c r="C150" t="s">
        <v>144</v>
      </c>
      <c r="D150" t="str">
        <f t="shared" si="2"/>
        <v>AAC75005.1_Escherichia_FliF</v>
      </c>
    </row>
    <row r="151" spans="1:4" x14ac:dyDescent="0.2">
      <c r="A151" t="s">
        <v>157</v>
      </c>
      <c r="B151" t="s">
        <v>1101</v>
      </c>
      <c r="C151" t="s">
        <v>144</v>
      </c>
      <c r="D151" t="str">
        <f t="shared" si="2"/>
        <v>AAG04490.1_Pseudomonas_FliF</v>
      </c>
    </row>
    <row r="152" spans="1:4" x14ac:dyDescent="0.2">
      <c r="A152" t="s">
        <v>159</v>
      </c>
      <c r="B152" t="s">
        <v>1101</v>
      </c>
      <c r="C152" t="s">
        <v>982</v>
      </c>
      <c r="D152" t="str">
        <f t="shared" si="2"/>
        <v>AAG05112.1_Pseudomonas_T3SS</v>
      </c>
    </row>
    <row r="153" spans="1:4" x14ac:dyDescent="0.2">
      <c r="A153" t="s">
        <v>160</v>
      </c>
      <c r="B153" t="s">
        <v>1102</v>
      </c>
      <c r="C153" t="s">
        <v>995</v>
      </c>
      <c r="D153" t="str">
        <f t="shared" si="2"/>
        <v>AAL20333.1_Salmonella_Secretion</v>
      </c>
    </row>
    <row r="154" spans="1:4" x14ac:dyDescent="0.2">
      <c r="A154" t="s">
        <v>161</v>
      </c>
      <c r="B154" t="s">
        <v>1102</v>
      </c>
      <c r="C154" t="s">
        <v>144</v>
      </c>
      <c r="D154" t="str">
        <f t="shared" si="2"/>
        <v>AAL20881.1_Salmonella_FliF</v>
      </c>
    </row>
    <row r="155" spans="1:4" x14ac:dyDescent="0.2">
      <c r="A155" t="s">
        <v>162</v>
      </c>
      <c r="B155" t="s">
        <v>1102</v>
      </c>
      <c r="C155" t="s">
        <v>1000</v>
      </c>
      <c r="D155" t="str">
        <f t="shared" si="2"/>
        <v>AAL21751.1_Salmonella_Cell_invasion</v>
      </c>
    </row>
    <row r="156" spans="1:4" x14ac:dyDescent="0.2">
      <c r="A156" t="s">
        <v>163</v>
      </c>
      <c r="B156" t="s">
        <v>1103</v>
      </c>
      <c r="C156" t="s">
        <v>144</v>
      </c>
      <c r="D156" t="str">
        <f t="shared" si="2"/>
        <v>CAC45218.1_Sinorhizobium_FliF</v>
      </c>
    </row>
    <row r="157" spans="1:4" x14ac:dyDescent="0.2">
      <c r="A157" t="s">
        <v>165</v>
      </c>
      <c r="B157" t="s">
        <v>1104</v>
      </c>
      <c r="C157" t="s">
        <v>984</v>
      </c>
      <c r="D157" t="str">
        <f t="shared" si="2"/>
        <v>AAM40531.1_Xanthomonas_T3SS_HrcJ</v>
      </c>
    </row>
    <row r="158" spans="1:4" x14ac:dyDescent="0.2">
      <c r="A158" t="s">
        <v>167</v>
      </c>
      <c r="B158" t="s">
        <v>1104</v>
      </c>
      <c r="C158" t="s">
        <v>164</v>
      </c>
      <c r="D158" t="str">
        <f t="shared" si="2"/>
        <v>AAM41215.1_Xanthomonas_Flagellar</v>
      </c>
    </row>
    <row r="159" spans="1:4" x14ac:dyDescent="0.2">
      <c r="A159" t="s">
        <v>168</v>
      </c>
      <c r="B159" t="s">
        <v>1105</v>
      </c>
      <c r="C159" t="s">
        <v>995</v>
      </c>
      <c r="D159" t="str">
        <f t="shared" si="2"/>
        <v>AAP98786.1_Chlamydia_Secretion</v>
      </c>
    </row>
    <row r="160" spans="1:4" x14ac:dyDescent="0.2">
      <c r="A160" t="s">
        <v>169</v>
      </c>
      <c r="B160" t="s">
        <v>1106</v>
      </c>
      <c r="C160" t="s">
        <v>144</v>
      </c>
      <c r="D160" t="str">
        <f t="shared" si="2"/>
        <v>AAM67637.1_Buchnera_FliF</v>
      </c>
    </row>
    <row r="161" spans="1:4" x14ac:dyDescent="0.2">
      <c r="A161" t="s">
        <v>170</v>
      </c>
      <c r="B161" t="s">
        <v>1102</v>
      </c>
      <c r="C161" t="s">
        <v>144</v>
      </c>
      <c r="D161" t="str">
        <f t="shared" si="2"/>
        <v>AAO68586.1_Salmonella_FliF</v>
      </c>
    </row>
    <row r="162" spans="1:4" x14ac:dyDescent="0.2">
      <c r="A162" t="s">
        <v>171</v>
      </c>
      <c r="B162" t="s">
        <v>1102</v>
      </c>
      <c r="C162" t="s">
        <v>1004</v>
      </c>
      <c r="D162" t="str">
        <f t="shared" si="2"/>
        <v>AAO68929.1_Salmonella_Lipoprotein</v>
      </c>
    </row>
    <row r="163" spans="1:4" x14ac:dyDescent="0.2">
      <c r="A163" t="s">
        <v>172</v>
      </c>
      <c r="B163" t="s">
        <v>1102</v>
      </c>
      <c r="C163" t="s">
        <v>1063</v>
      </c>
      <c r="D163" t="str">
        <f t="shared" si="2"/>
        <v>AAO70334.1_Salmonella_Pathogenecity_Island</v>
      </c>
    </row>
    <row r="164" spans="1:4" x14ac:dyDescent="0.2">
      <c r="A164" t="s">
        <v>173</v>
      </c>
      <c r="B164" t="s">
        <v>683</v>
      </c>
      <c r="C164" t="s">
        <v>144</v>
      </c>
      <c r="D164" t="str">
        <f t="shared" si="2"/>
        <v>AAO36212.1_Clostridium_FliF</v>
      </c>
    </row>
    <row r="165" spans="1:4" x14ac:dyDescent="0.2">
      <c r="A165" t="s">
        <v>174</v>
      </c>
      <c r="B165" t="s">
        <v>1107</v>
      </c>
      <c r="C165" t="s">
        <v>144</v>
      </c>
      <c r="D165" t="str">
        <f t="shared" si="2"/>
        <v>AAS69992.1_Leptospira_FliF</v>
      </c>
    </row>
    <row r="166" spans="1:4" x14ac:dyDescent="0.2">
      <c r="A166" t="s">
        <v>175</v>
      </c>
      <c r="B166" t="s">
        <v>1108</v>
      </c>
      <c r="C166" t="s">
        <v>1000</v>
      </c>
      <c r="D166" t="str">
        <f t="shared" si="2"/>
        <v>AAQ60092.1_Chromobacterium_Cell_invasion</v>
      </c>
    </row>
    <row r="167" spans="1:4" x14ac:dyDescent="0.2">
      <c r="A167" t="s">
        <v>176</v>
      </c>
      <c r="B167" t="s">
        <v>1108</v>
      </c>
      <c r="C167" t="s">
        <v>982</v>
      </c>
      <c r="D167" t="str">
        <f t="shared" si="2"/>
        <v>AAQ60258.1_Chromobacterium_T3SS</v>
      </c>
    </row>
    <row r="168" spans="1:4" x14ac:dyDescent="0.2">
      <c r="A168" t="s">
        <v>177</v>
      </c>
      <c r="B168" t="s">
        <v>1108</v>
      </c>
      <c r="C168" t="s">
        <v>144</v>
      </c>
      <c r="D168" t="str">
        <f t="shared" si="2"/>
        <v>AAQ60668.1_Chromobacterium_FliF</v>
      </c>
    </row>
    <row r="169" spans="1:4" x14ac:dyDescent="0.2">
      <c r="A169" t="s">
        <v>178</v>
      </c>
      <c r="B169" t="s">
        <v>1108</v>
      </c>
      <c r="C169" t="s">
        <v>144</v>
      </c>
      <c r="D169" t="str">
        <f t="shared" si="2"/>
        <v>AAQ60803.1_Chromobacterium_FliF</v>
      </c>
    </row>
    <row r="170" spans="1:4" x14ac:dyDescent="0.2">
      <c r="A170" t="s">
        <v>179</v>
      </c>
      <c r="B170" t="s">
        <v>1109</v>
      </c>
      <c r="C170" t="s">
        <v>144</v>
      </c>
      <c r="D170" t="str">
        <f t="shared" si="2"/>
        <v>AAR33742.1_Geobacter_FliF</v>
      </c>
    </row>
    <row r="171" spans="1:4" x14ac:dyDescent="0.2">
      <c r="A171" t="s">
        <v>180</v>
      </c>
      <c r="B171" t="s">
        <v>1066</v>
      </c>
      <c r="C171" t="s">
        <v>144</v>
      </c>
      <c r="D171" t="str">
        <f t="shared" si="2"/>
        <v>AAS40694.1_Bacillus_FliF</v>
      </c>
    </row>
    <row r="172" spans="1:4" x14ac:dyDescent="0.2">
      <c r="A172" t="s">
        <v>181</v>
      </c>
      <c r="B172" t="s">
        <v>1066</v>
      </c>
      <c r="C172" t="s">
        <v>144</v>
      </c>
      <c r="D172" t="str">
        <f t="shared" si="2"/>
        <v>AAU40736.1_Bacillus_FliF</v>
      </c>
    </row>
    <row r="173" spans="1:4" x14ac:dyDescent="0.2">
      <c r="A173" t="s">
        <v>182</v>
      </c>
      <c r="B173" t="s">
        <v>1110</v>
      </c>
      <c r="C173" t="s">
        <v>144</v>
      </c>
      <c r="D173" t="str">
        <f t="shared" si="2"/>
        <v>AAV82040.1_Idiomarina_FliF</v>
      </c>
    </row>
    <row r="174" spans="1:4" x14ac:dyDescent="0.2">
      <c r="A174" t="s">
        <v>183</v>
      </c>
      <c r="B174" t="s">
        <v>1111</v>
      </c>
      <c r="C174" t="s">
        <v>144</v>
      </c>
      <c r="D174" t="str">
        <f t="shared" si="2"/>
        <v>AAD35313.1_Thermotoga_FliF</v>
      </c>
    </row>
    <row r="175" spans="1:4" x14ac:dyDescent="0.2">
      <c r="A175" t="s">
        <v>184</v>
      </c>
      <c r="B175" t="s">
        <v>1112</v>
      </c>
      <c r="C175" t="s">
        <v>144</v>
      </c>
      <c r="D175" t="str">
        <f t="shared" si="2"/>
        <v>AAC07196.1_Aquifex_FliF</v>
      </c>
    </row>
    <row r="176" spans="1:4" x14ac:dyDescent="0.2">
      <c r="A176" t="s">
        <v>185</v>
      </c>
      <c r="B176" t="s">
        <v>1105</v>
      </c>
      <c r="C176" t="s">
        <v>1007</v>
      </c>
      <c r="D176" t="str">
        <f t="shared" si="2"/>
        <v>AAC68161.1_Chlamydia_T3SS_YscJ</v>
      </c>
    </row>
    <row r="177" spans="1:4" x14ac:dyDescent="0.2">
      <c r="A177" t="s">
        <v>186</v>
      </c>
      <c r="B177" t="s">
        <v>1066</v>
      </c>
      <c r="C177" t="s">
        <v>144</v>
      </c>
      <c r="D177" t="str">
        <f t="shared" si="2"/>
        <v>CAB13494.1_Bacillus_FliF</v>
      </c>
    </row>
    <row r="178" spans="1:4" x14ac:dyDescent="0.2">
      <c r="A178" t="s">
        <v>187</v>
      </c>
      <c r="B178" t="s">
        <v>1113</v>
      </c>
      <c r="C178" t="s">
        <v>144</v>
      </c>
      <c r="D178" t="str">
        <f t="shared" si="2"/>
        <v>CAL34469.1_Campylobacter_FliF</v>
      </c>
    </row>
    <row r="179" spans="1:4" x14ac:dyDescent="0.2">
      <c r="A179" t="s">
        <v>188</v>
      </c>
      <c r="B179" t="s">
        <v>1106</v>
      </c>
      <c r="C179" t="s">
        <v>144</v>
      </c>
      <c r="D179" t="str">
        <f t="shared" si="2"/>
        <v>BAB12793.1_Buchnera_FliF</v>
      </c>
    </row>
    <row r="180" spans="1:4" x14ac:dyDescent="0.2">
      <c r="A180" t="s">
        <v>189</v>
      </c>
      <c r="B180" t="s">
        <v>1114</v>
      </c>
      <c r="C180" t="s">
        <v>144</v>
      </c>
      <c r="D180" t="str">
        <f t="shared" si="2"/>
        <v>BAC95245.1_Vibrio_FliF</v>
      </c>
    </row>
    <row r="181" spans="1:4" x14ac:dyDescent="0.2">
      <c r="A181" t="s">
        <v>190</v>
      </c>
      <c r="B181" t="s">
        <v>1067</v>
      </c>
      <c r="C181" t="s">
        <v>144</v>
      </c>
      <c r="D181" t="str">
        <f t="shared" si="2"/>
        <v>BAD75504.1_Geobacillus_FliF</v>
      </c>
    </row>
    <row r="182" spans="1:4" x14ac:dyDescent="0.2">
      <c r="A182" t="s">
        <v>191</v>
      </c>
      <c r="B182" t="s">
        <v>1068</v>
      </c>
      <c r="C182" t="s">
        <v>144</v>
      </c>
      <c r="D182" t="str">
        <f t="shared" si="2"/>
        <v>BAD64804.1_Alkalihalobacillus_FliF</v>
      </c>
    </row>
    <row r="183" spans="1:4" x14ac:dyDescent="0.2">
      <c r="A183" t="s">
        <v>192</v>
      </c>
      <c r="B183" t="s">
        <v>1069</v>
      </c>
      <c r="C183" t="s">
        <v>144</v>
      </c>
      <c r="D183" t="str">
        <f t="shared" si="2"/>
        <v>BAD41986.1_Symbiobacterium_FliF</v>
      </c>
    </row>
    <row r="184" spans="1:4" x14ac:dyDescent="0.2">
      <c r="A184" t="s">
        <v>193</v>
      </c>
      <c r="B184" t="s">
        <v>1115</v>
      </c>
      <c r="C184" t="s">
        <v>982</v>
      </c>
      <c r="D184" t="str">
        <f t="shared" si="2"/>
        <v>BAE49307.1_Magnetospirillum_T3SS</v>
      </c>
    </row>
    <row r="185" spans="1:4" x14ac:dyDescent="0.2">
      <c r="A185" t="s">
        <v>194</v>
      </c>
      <c r="B185" t="s">
        <v>1116</v>
      </c>
      <c r="C185" t="s">
        <v>144</v>
      </c>
      <c r="D185" t="str">
        <f t="shared" si="2"/>
        <v>BAH37373.1_Gemmatimonas_FliF</v>
      </c>
    </row>
    <row r="186" spans="1:4" x14ac:dyDescent="0.2">
      <c r="A186" t="s">
        <v>195</v>
      </c>
      <c r="B186" t="s">
        <v>1117</v>
      </c>
      <c r="C186" t="s">
        <v>144</v>
      </c>
      <c r="D186" t="str">
        <f t="shared" si="2"/>
        <v>BAH77996.1_Solidesulfovibrio_FliF</v>
      </c>
    </row>
    <row r="187" spans="1:4" x14ac:dyDescent="0.2">
      <c r="A187" t="s">
        <v>196</v>
      </c>
      <c r="B187" t="s">
        <v>1070</v>
      </c>
      <c r="C187" t="s">
        <v>144</v>
      </c>
      <c r="D187" t="str">
        <f t="shared" si="2"/>
        <v>BAB06177.1_Halalkalibacterium_FliF</v>
      </c>
    </row>
    <row r="188" spans="1:4" x14ac:dyDescent="0.2">
      <c r="A188" t="s">
        <v>197</v>
      </c>
      <c r="B188" t="s">
        <v>1118</v>
      </c>
      <c r="C188" t="s">
        <v>144</v>
      </c>
      <c r="D188" t="str">
        <f t="shared" si="2"/>
        <v>ACM01227.1_Cereibacter_FliF</v>
      </c>
    </row>
    <row r="189" spans="1:4" x14ac:dyDescent="0.2">
      <c r="A189" t="s">
        <v>198</v>
      </c>
      <c r="B189" t="s">
        <v>1071</v>
      </c>
      <c r="C189" t="s">
        <v>144</v>
      </c>
      <c r="D189" t="str">
        <f t="shared" si="2"/>
        <v>BAC13511.1_Oceanobacillus_FliF</v>
      </c>
    </row>
    <row r="190" spans="1:4" x14ac:dyDescent="0.2">
      <c r="A190" t="s">
        <v>199</v>
      </c>
      <c r="B190" t="s">
        <v>1119</v>
      </c>
      <c r="C190" t="s">
        <v>144</v>
      </c>
      <c r="D190" t="str">
        <f t="shared" si="2"/>
        <v>CAH34218.1_Burkholderia_FliF</v>
      </c>
    </row>
    <row r="191" spans="1:4" x14ac:dyDescent="0.2">
      <c r="A191" t="s">
        <v>200</v>
      </c>
      <c r="B191" t="s">
        <v>1119</v>
      </c>
      <c r="C191" t="s">
        <v>982</v>
      </c>
      <c r="D191" t="str">
        <f t="shared" si="2"/>
        <v>CAH38872.1_Burkholderia_T3SS</v>
      </c>
    </row>
    <row r="192" spans="1:4" x14ac:dyDescent="0.2">
      <c r="A192" t="s">
        <v>201</v>
      </c>
      <c r="B192" t="s">
        <v>1119</v>
      </c>
      <c r="C192" t="s">
        <v>982</v>
      </c>
      <c r="D192" t="str">
        <f t="shared" si="2"/>
        <v>CAH39023.1_Burkholderia_T3SS</v>
      </c>
    </row>
    <row r="193" spans="1:4" x14ac:dyDescent="0.2">
      <c r="A193" t="s">
        <v>202</v>
      </c>
      <c r="B193" t="s">
        <v>1119</v>
      </c>
      <c r="C193" t="s">
        <v>982</v>
      </c>
      <c r="D193" t="str">
        <f t="shared" si="2"/>
        <v>CAH39099.1_Burkholderia_T3SS</v>
      </c>
    </row>
    <row r="194" spans="1:4" x14ac:dyDescent="0.2">
      <c r="A194" t="s">
        <v>203</v>
      </c>
      <c r="B194" t="s">
        <v>1119</v>
      </c>
      <c r="C194" t="s">
        <v>982</v>
      </c>
      <c r="D194" t="str">
        <f t="shared" si="2"/>
        <v>AAU45852.1_Burkholderia_T3SS</v>
      </c>
    </row>
    <row r="195" spans="1:4" x14ac:dyDescent="0.2">
      <c r="A195" t="s">
        <v>204</v>
      </c>
      <c r="B195" t="s">
        <v>1119</v>
      </c>
      <c r="C195" t="s">
        <v>144</v>
      </c>
      <c r="D195" t="str">
        <f t="shared" ref="D195:D258" si="3">A195&amp;"_"&amp;B195&amp;"_"&amp;C195</f>
        <v>AAU48881.1_Burkholderia_FliF</v>
      </c>
    </row>
    <row r="196" spans="1:4" x14ac:dyDescent="0.2">
      <c r="A196" t="s">
        <v>205</v>
      </c>
      <c r="B196" t="s">
        <v>1101</v>
      </c>
      <c r="C196" t="s">
        <v>1252</v>
      </c>
      <c r="D196" t="str">
        <f t="shared" si="3"/>
        <v>AAY36249.1_Pseudomonas_T3SS_YscJ_HrcJ</v>
      </c>
    </row>
    <row r="197" spans="1:4" x14ac:dyDescent="0.2">
      <c r="A197" t="s">
        <v>207</v>
      </c>
      <c r="B197" t="s">
        <v>1101</v>
      </c>
      <c r="C197" t="s">
        <v>144</v>
      </c>
      <c r="D197" t="str">
        <f t="shared" si="3"/>
        <v>AAY38489.1_Pseudomonas_FliF</v>
      </c>
    </row>
    <row r="198" spans="1:4" x14ac:dyDescent="0.2">
      <c r="A198" t="s">
        <v>208</v>
      </c>
      <c r="B198" t="s">
        <v>1120</v>
      </c>
      <c r="C198" t="s">
        <v>144</v>
      </c>
      <c r="D198" t="str">
        <f t="shared" si="3"/>
        <v>AAZ28086.1_Colwellia_FliF</v>
      </c>
    </row>
    <row r="199" spans="1:4" x14ac:dyDescent="0.2">
      <c r="A199" t="s">
        <v>209</v>
      </c>
      <c r="B199" t="s">
        <v>1119</v>
      </c>
      <c r="C199" t="s">
        <v>1004</v>
      </c>
      <c r="D199" t="str">
        <f t="shared" si="3"/>
        <v>ABC34129.1_Burkholderia_Lipoprotein</v>
      </c>
    </row>
    <row r="200" spans="1:4" x14ac:dyDescent="0.2">
      <c r="A200" t="s">
        <v>210</v>
      </c>
      <c r="B200" t="s">
        <v>1119</v>
      </c>
      <c r="C200" t="s">
        <v>982</v>
      </c>
      <c r="D200" t="str">
        <f t="shared" si="3"/>
        <v>ABC34345.1_Burkholderia_T3SS</v>
      </c>
    </row>
    <row r="201" spans="1:4" x14ac:dyDescent="0.2">
      <c r="A201" t="s">
        <v>211</v>
      </c>
      <c r="B201" t="s">
        <v>1119</v>
      </c>
      <c r="C201" t="s">
        <v>144</v>
      </c>
      <c r="D201" t="str">
        <f t="shared" si="3"/>
        <v>ABC36024.1_Burkholderia_FliF</v>
      </c>
    </row>
    <row r="202" spans="1:4" x14ac:dyDescent="0.2">
      <c r="A202" t="s">
        <v>212</v>
      </c>
      <c r="B202" t="s">
        <v>1119</v>
      </c>
      <c r="C202" t="s">
        <v>144</v>
      </c>
      <c r="D202" t="str">
        <f t="shared" si="3"/>
        <v>ABC37528.1_Burkholderia_FliF</v>
      </c>
    </row>
    <row r="203" spans="1:4" x14ac:dyDescent="0.2">
      <c r="A203" t="s">
        <v>213</v>
      </c>
      <c r="B203" t="s">
        <v>1121</v>
      </c>
      <c r="C203" t="s">
        <v>1252</v>
      </c>
      <c r="D203" t="str">
        <f t="shared" si="3"/>
        <v>ABF88125.1_Myxococcus_T3SS_YscJ_HrcJ</v>
      </c>
    </row>
    <row r="204" spans="1:4" x14ac:dyDescent="0.2">
      <c r="A204" t="s">
        <v>214</v>
      </c>
      <c r="B204" t="s">
        <v>1121</v>
      </c>
      <c r="C204" t="s">
        <v>982</v>
      </c>
      <c r="D204" t="str">
        <f t="shared" si="3"/>
        <v>ABF88690.1_Myxococcus_T3SS</v>
      </c>
    </row>
    <row r="205" spans="1:4" x14ac:dyDescent="0.2">
      <c r="A205" t="s">
        <v>215</v>
      </c>
      <c r="B205" t="s">
        <v>1122</v>
      </c>
      <c r="C205" t="s">
        <v>144</v>
      </c>
      <c r="D205" t="str">
        <f t="shared" si="3"/>
        <v>ABA03866.1_Nitrobacter_FliF</v>
      </c>
    </row>
    <row r="206" spans="1:4" x14ac:dyDescent="0.2">
      <c r="A206" t="s">
        <v>216</v>
      </c>
      <c r="B206" t="s">
        <v>1123</v>
      </c>
      <c r="C206" t="s">
        <v>982</v>
      </c>
      <c r="D206" t="str">
        <f t="shared" si="3"/>
        <v>AAZ97041.1_Thiobacillus_T3SS</v>
      </c>
    </row>
    <row r="207" spans="1:4" x14ac:dyDescent="0.2">
      <c r="A207" t="s">
        <v>217</v>
      </c>
      <c r="B207" t="s">
        <v>1123</v>
      </c>
      <c r="C207" t="s">
        <v>144</v>
      </c>
      <c r="D207" t="str">
        <f t="shared" si="3"/>
        <v>AAZ97553.1_Thiobacillus_FliF</v>
      </c>
    </row>
    <row r="208" spans="1:4" x14ac:dyDescent="0.2">
      <c r="A208" t="s">
        <v>218</v>
      </c>
      <c r="B208" t="s">
        <v>1124</v>
      </c>
      <c r="C208" t="s">
        <v>144</v>
      </c>
      <c r="D208" t="str">
        <f t="shared" si="3"/>
        <v>ABA58817.1_Nitrosococcus_FliF</v>
      </c>
    </row>
    <row r="209" spans="1:4" x14ac:dyDescent="0.2">
      <c r="A209" t="s">
        <v>219</v>
      </c>
      <c r="B209" t="s">
        <v>1125</v>
      </c>
      <c r="C209" t="s">
        <v>144</v>
      </c>
      <c r="D209" t="str">
        <f t="shared" si="3"/>
        <v>ABA88441.1_Syntrophotalea_FliF</v>
      </c>
    </row>
    <row r="210" spans="1:4" x14ac:dyDescent="0.2">
      <c r="A210" t="s">
        <v>220</v>
      </c>
      <c r="B210" t="s">
        <v>1126</v>
      </c>
      <c r="C210" t="s">
        <v>144</v>
      </c>
      <c r="D210" t="str">
        <f t="shared" si="3"/>
        <v>ABI78744.1_Hyphomonas_FliF</v>
      </c>
    </row>
    <row r="211" spans="1:4" x14ac:dyDescent="0.2">
      <c r="A211" t="s">
        <v>221</v>
      </c>
      <c r="B211" t="s">
        <v>1127</v>
      </c>
      <c r="C211" t="s">
        <v>144</v>
      </c>
      <c r="D211" t="str">
        <f t="shared" si="3"/>
        <v>ABC45369.1_Salinibacter_FliF</v>
      </c>
    </row>
    <row r="212" spans="1:4" x14ac:dyDescent="0.2">
      <c r="A212" t="s">
        <v>222</v>
      </c>
      <c r="B212" t="s">
        <v>1128</v>
      </c>
      <c r="C212" t="s">
        <v>144</v>
      </c>
      <c r="D212" t="str">
        <f t="shared" si="3"/>
        <v>ABC76851.1_Syntrophus_FliF</v>
      </c>
    </row>
    <row r="213" spans="1:4" x14ac:dyDescent="0.2">
      <c r="A213" t="s">
        <v>223</v>
      </c>
      <c r="B213" t="s">
        <v>1129</v>
      </c>
      <c r="C213" t="s">
        <v>144</v>
      </c>
      <c r="D213" t="str">
        <f t="shared" si="3"/>
        <v>ABD81448.1_Saccharophagus_FliF</v>
      </c>
    </row>
    <row r="214" spans="1:4" x14ac:dyDescent="0.2">
      <c r="A214" t="s">
        <v>224</v>
      </c>
      <c r="B214" t="s">
        <v>1130</v>
      </c>
      <c r="C214" t="s">
        <v>144</v>
      </c>
      <c r="D214" t="str">
        <f t="shared" si="3"/>
        <v>ABE50245.1_Methylobacillus_FliF</v>
      </c>
    </row>
    <row r="215" spans="1:4" x14ac:dyDescent="0.2">
      <c r="A215" t="s">
        <v>225</v>
      </c>
      <c r="B215" t="s">
        <v>1131</v>
      </c>
      <c r="C215" t="s">
        <v>144</v>
      </c>
      <c r="D215" t="str">
        <f t="shared" si="3"/>
        <v>ABI59015.1_Nitrosomonas_FliF</v>
      </c>
    </row>
    <row r="216" spans="1:4" x14ac:dyDescent="0.2">
      <c r="A216" t="s">
        <v>226</v>
      </c>
      <c r="B216" t="s">
        <v>1132</v>
      </c>
      <c r="C216" t="s">
        <v>144</v>
      </c>
      <c r="D216" t="str">
        <f t="shared" si="3"/>
        <v>ABK42796.1_Magnetococcus_FliF</v>
      </c>
    </row>
    <row r="217" spans="1:4" x14ac:dyDescent="0.2">
      <c r="A217" t="s">
        <v>227</v>
      </c>
      <c r="B217" t="s">
        <v>1133</v>
      </c>
      <c r="C217" t="s">
        <v>144</v>
      </c>
      <c r="D217" t="str">
        <f t="shared" si="3"/>
        <v>ABM19078.1_Marinobacter_FliF</v>
      </c>
    </row>
    <row r="218" spans="1:4" x14ac:dyDescent="0.2">
      <c r="A218" t="s">
        <v>228</v>
      </c>
      <c r="B218" t="s">
        <v>1134</v>
      </c>
      <c r="C218" t="s">
        <v>144</v>
      </c>
      <c r="D218" t="str">
        <f t="shared" si="3"/>
        <v>ABQ62358.1_Brucella_FliF</v>
      </c>
    </row>
    <row r="219" spans="1:4" x14ac:dyDescent="0.2">
      <c r="A219" t="s">
        <v>229</v>
      </c>
      <c r="B219" t="s">
        <v>1135</v>
      </c>
      <c r="C219" t="s">
        <v>144</v>
      </c>
      <c r="D219" t="str">
        <f t="shared" si="3"/>
        <v>ABS63798.1_Parvibaculum_FliF</v>
      </c>
    </row>
    <row r="220" spans="1:4" x14ac:dyDescent="0.2">
      <c r="A220" t="s">
        <v>230</v>
      </c>
      <c r="B220" t="s">
        <v>1107</v>
      </c>
      <c r="C220" t="s">
        <v>144</v>
      </c>
      <c r="D220" t="str">
        <f t="shared" si="3"/>
        <v>ABZ96871.1_Leptospira_FliF</v>
      </c>
    </row>
    <row r="221" spans="1:4" x14ac:dyDescent="0.2">
      <c r="A221" t="s">
        <v>231</v>
      </c>
      <c r="B221" t="s">
        <v>1136</v>
      </c>
      <c r="C221" t="s">
        <v>144</v>
      </c>
      <c r="D221" t="str">
        <f t="shared" si="3"/>
        <v>ABV34690.1_Shewanella_FliF</v>
      </c>
    </row>
    <row r="222" spans="1:4" x14ac:dyDescent="0.2">
      <c r="A222" t="s">
        <v>232</v>
      </c>
      <c r="B222" t="s">
        <v>1136</v>
      </c>
      <c r="C222" t="s">
        <v>144</v>
      </c>
      <c r="D222" t="str">
        <f t="shared" si="3"/>
        <v>ABV37670.1_Shewanella_FliF</v>
      </c>
    </row>
    <row r="223" spans="1:4" x14ac:dyDescent="0.2">
      <c r="A223" t="s">
        <v>233</v>
      </c>
      <c r="B223" t="s">
        <v>1111</v>
      </c>
      <c r="C223" t="s">
        <v>144</v>
      </c>
      <c r="D223" t="str">
        <f t="shared" si="3"/>
        <v>ACM22640.1_Thermotoga_FliF</v>
      </c>
    </row>
    <row r="224" spans="1:4" x14ac:dyDescent="0.2">
      <c r="A224" t="s">
        <v>234</v>
      </c>
      <c r="B224" t="s">
        <v>1072</v>
      </c>
      <c r="C224" t="s">
        <v>144</v>
      </c>
      <c r="D224" t="str">
        <f t="shared" si="3"/>
        <v>ABY94911.1_Thermoanaerobacter_FliF</v>
      </c>
    </row>
    <row r="225" spans="1:4" x14ac:dyDescent="0.2">
      <c r="A225" t="s">
        <v>235</v>
      </c>
      <c r="B225" t="s">
        <v>1101</v>
      </c>
      <c r="C225" t="s">
        <v>144</v>
      </c>
      <c r="D225" t="str">
        <f t="shared" si="3"/>
        <v>ABY99820.1_Pseudomonas_FliF</v>
      </c>
    </row>
    <row r="226" spans="1:4" x14ac:dyDescent="0.2">
      <c r="A226" t="s">
        <v>236</v>
      </c>
      <c r="B226" t="s">
        <v>1137</v>
      </c>
      <c r="C226" t="s">
        <v>144</v>
      </c>
      <c r="D226" t="str">
        <f t="shared" si="3"/>
        <v>ACB73714.1_Opitutus_FliF</v>
      </c>
    </row>
    <row r="227" spans="1:4" x14ac:dyDescent="0.2">
      <c r="A227" t="s">
        <v>237</v>
      </c>
      <c r="B227" t="s">
        <v>1073</v>
      </c>
      <c r="C227" t="s">
        <v>144</v>
      </c>
      <c r="D227" t="str">
        <f t="shared" si="3"/>
        <v>ACB84974.1_Natranaerobius_FliF</v>
      </c>
    </row>
    <row r="228" spans="1:4" x14ac:dyDescent="0.2">
      <c r="A228" t="s">
        <v>238</v>
      </c>
      <c r="B228" t="s">
        <v>1138</v>
      </c>
      <c r="C228" t="s">
        <v>144</v>
      </c>
      <c r="D228" t="str">
        <f t="shared" si="3"/>
        <v>ACN16787.1_Desulforapulum_FliF</v>
      </c>
    </row>
    <row r="229" spans="1:4" x14ac:dyDescent="0.2">
      <c r="A229" t="s">
        <v>239</v>
      </c>
      <c r="B229" t="s">
        <v>1074</v>
      </c>
      <c r="C229" t="s">
        <v>144</v>
      </c>
      <c r="D229" t="str">
        <f t="shared" si="3"/>
        <v>ACL70438.1_Halothermothrix_FliF</v>
      </c>
    </row>
    <row r="230" spans="1:4" x14ac:dyDescent="0.2">
      <c r="A230" t="s">
        <v>240</v>
      </c>
      <c r="B230" t="s">
        <v>1139</v>
      </c>
      <c r="C230" t="s">
        <v>144</v>
      </c>
      <c r="D230" t="str">
        <f t="shared" si="3"/>
        <v>ACH40830.1_Citrifermentans_FliF</v>
      </c>
    </row>
    <row r="231" spans="1:4" x14ac:dyDescent="0.2">
      <c r="A231" t="s">
        <v>241</v>
      </c>
      <c r="B231" t="s">
        <v>1140</v>
      </c>
      <c r="C231" t="s">
        <v>144</v>
      </c>
      <c r="D231" t="str">
        <f t="shared" si="3"/>
        <v>ACI21849.1_Thermodesulfovibrio_FliF</v>
      </c>
    </row>
    <row r="232" spans="1:4" x14ac:dyDescent="0.2">
      <c r="A232" t="s">
        <v>242</v>
      </c>
      <c r="B232" t="s">
        <v>1141</v>
      </c>
      <c r="C232" t="s">
        <v>144</v>
      </c>
      <c r="D232" t="str">
        <f t="shared" si="3"/>
        <v>ACM93021.1_Nautilia_FliF</v>
      </c>
    </row>
    <row r="233" spans="1:4" x14ac:dyDescent="0.2">
      <c r="A233" t="s">
        <v>243</v>
      </c>
      <c r="B233" t="s">
        <v>1075</v>
      </c>
      <c r="C233" t="s">
        <v>144</v>
      </c>
      <c r="D233" t="str">
        <f t="shared" si="3"/>
        <v>ACL22158.1_Desulfitobacterium_FliF</v>
      </c>
    </row>
    <row r="234" spans="1:4" x14ac:dyDescent="0.2">
      <c r="A234" t="s">
        <v>244</v>
      </c>
      <c r="B234" t="s">
        <v>1142</v>
      </c>
      <c r="C234" t="s">
        <v>144</v>
      </c>
      <c r="D234" t="str">
        <f t="shared" si="3"/>
        <v>ACL73050.1_Thioalkalivibrio_FliF</v>
      </c>
    </row>
    <row r="235" spans="1:4" x14ac:dyDescent="0.2">
      <c r="A235" t="s">
        <v>245</v>
      </c>
      <c r="B235" t="s">
        <v>1143</v>
      </c>
      <c r="C235" t="s">
        <v>144</v>
      </c>
      <c r="D235" t="str">
        <f t="shared" si="3"/>
        <v>ACL94415.1_Caulobacter_FliF</v>
      </c>
    </row>
    <row r="236" spans="1:4" x14ac:dyDescent="0.2">
      <c r="A236" t="s">
        <v>246</v>
      </c>
      <c r="B236" t="s">
        <v>1144</v>
      </c>
      <c r="C236" t="s">
        <v>1007</v>
      </c>
      <c r="D236" t="str">
        <f t="shared" si="3"/>
        <v>ACL64098.1_Anaeromyxobacter_T3SS_YscJ</v>
      </c>
    </row>
    <row r="237" spans="1:4" x14ac:dyDescent="0.2">
      <c r="A237" t="s">
        <v>247</v>
      </c>
      <c r="B237" t="s">
        <v>1144</v>
      </c>
      <c r="C237" t="s">
        <v>144</v>
      </c>
      <c r="D237" t="str">
        <f t="shared" si="3"/>
        <v>ACL65896.1_Anaeromyxobacter_FliF</v>
      </c>
    </row>
    <row r="238" spans="1:4" x14ac:dyDescent="0.2">
      <c r="A238" t="s">
        <v>248</v>
      </c>
      <c r="B238" t="s">
        <v>1145</v>
      </c>
      <c r="C238" t="s">
        <v>144</v>
      </c>
      <c r="D238" t="str">
        <f t="shared" si="3"/>
        <v>ACO32668.1_Acidobacterium_FliF</v>
      </c>
    </row>
    <row r="239" spans="1:4" x14ac:dyDescent="0.2">
      <c r="A239" t="s">
        <v>249</v>
      </c>
      <c r="B239" t="s">
        <v>1146</v>
      </c>
      <c r="C239" t="s">
        <v>1252</v>
      </c>
      <c r="D239" t="str">
        <f t="shared" si="3"/>
        <v>ACT13236.1_Pectobacterium_T3SS_YscJ_HrcJ</v>
      </c>
    </row>
    <row r="240" spans="1:4" x14ac:dyDescent="0.2">
      <c r="A240" t="s">
        <v>250</v>
      </c>
      <c r="B240" t="s">
        <v>1146</v>
      </c>
      <c r="C240" t="s">
        <v>144</v>
      </c>
      <c r="D240" t="str">
        <f t="shared" si="3"/>
        <v>ACT13606.1_Pectobacterium_FliF</v>
      </c>
    </row>
    <row r="241" spans="1:4" x14ac:dyDescent="0.2">
      <c r="A241" t="s">
        <v>251</v>
      </c>
      <c r="B241" t="s">
        <v>1147</v>
      </c>
      <c r="C241" t="s">
        <v>144</v>
      </c>
      <c r="D241" t="str">
        <f t="shared" si="3"/>
        <v>ACT47836.1_Methylotenera_FliF</v>
      </c>
    </row>
    <row r="242" spans="1:4" x14ac:dyDescent="0.2">
      <c r="A242" t="s">
        <v>252</v>
      </c>
      <c r="B242" t="s">
        <v>1148</v>
      </c>
      <c r="C242" t="s">
        <v>144</v>
      </c>
      <c r="D242" t="str">
        <f t="shared" si="3"/>
        <v>ACV75177.1_Zymomonas_FliF</v>
      </c>
    </row>
    <row r="243" spans="1:4" x14ac:dyDescent="0.2">
      <c r="A243" t="s">
        <v>253</v>
      </c>
      <c r="B243" t="s">
        <v>1149</v>
      </c>
      <c r="C243" t="s">
        <v>144</v>
      </c>
      <c r="D243" t="str">
        <f t="shared" si="3"/>
        <v>ACV67866.1_Desulfohalobium_FliF</v>
      </c>
    </row>
    <row r="244" spans="1:4" x14ac:dyDescent="0.2">
      <c r="A244" t="s">
        <v>254</v>
      </c>
      <c r="B244" t="s">
        <v>1087</v>
      </c>
      <c r="C244" t="s">
        <v>144</v>
      </c>
      <c r="D244" t="str">
        <f t="shared" si="3"/>
        <v>ADE39075.1_Candidatus_FliF</v>
      </c>
    </row>
    <row r="245" spans="1:4" x14ac:dyDescent="0.2">
      <c r="A245" t="s">
        <v>255</v>
      </c>
      <c r="B245" t="s">
        <v>1150</v>
      </c>
      <c r="C245" t="s">
        <v>144</v>
      </c>
      <c r="D245" t="str">
        <f t="shared" si="3"/>
        <v>ACZ19568.1_Thermanaerovibrio_FliF</v>
      </c>
    </row>
    <row r="246" spans="1:4" x14ac:dyDescent="0.2">
      <c r="A246" t="s">
        <v>256</v>
      </c>
      <c r="B246" t="s">
        <v>1151</v>
      </c>
      <c r="C246" t="s">
        <v>144</v>
      </c>
      <c r="D246" t="str">
        <f t="shared" si="3"/>
        <v>ADC89287.1_Thermocrinis_FliF</v>
      </c>
    </row>
    <row r="247" spans="1:4" x14ac:dyDescent="0.2">
      <c r="A247" t="s">
        <v>257</v>
      </c>
      <c r="B247" t="s">
        <v>1152</v>
      </c>
      <c r="C247" t="s">
        <v>144</v>
      </c>
      <c r="D247" t="str">
        <f t="shared" si="3"/>
        <v>ADE10838.1_Sideroxydans_FliF</v>
      </c>
    </row>
    <row r="248" spans="1:4" x14ac:dyDescent="0.2">
      <c r="A248" t="s">
        <v>258</v>
      </c>
      <c r="B248" t="s">
        <v>1153</v>
      </c>
      <c r="C248" t="s">
        <v>144</v>
      </c>
      <c r="D248" t="str">
        <f t="shared" si="3"/>
        <v>ADD69076.1_Denitrovibrio_FliF</v>
      </c>
    </row>
    <row r="249" spans="1:4" x14ac:dyDescent="0.2">
      <c r="A249" t="s">
        <v>259</v>
      </c>
      <c r="B249" t="s">
        <v>1154</v>
      </c>
      <c r="C249" t="s">
        <v>144</v>
      </c>
      <c r="D249" t="str">
        <f t="shared" si="3"/>
        <v>CAG37385.1_Desulfotalea_FliF</v>
      </c>
    </row>
    <row r="250" spans="1:4" x14ac:dyDescent="0.2">
      <c r="A250" t="s">
        <v>260</v>
      </c>
      <c r="B250" t="s">
        <v>1100</v>
      </c>
      <c r="C250" t="s">
        <v>144</v>
      </c>
      <c r="D250" t="str">
        <f t="shared" si="3"/>
        <v>CBG33087.1_Escherichia_FliF</v>
      </c>
    </row>
    <row r="251" spans="1:4" x14ac:dyDescent="0.2">
      <c r="A251" t="s">
        <v>261</v>
      </c>
      <c r="B251" t="s">
        <v>1100</v>
      </c>
      <c r="C251" t="s">
        <v>982</v>
      </c>
      <c r="D251" t="str">
        <f t="shared" si="3"/>
        <v>CBG35883.1_Escherichia_T3SS</v>
      </c>
    </row>
    <row r="252" spans="1:4" x14ac:dyDescent="0.2">
      <c r="A252" t="s">
        <v>262</v>
      </c>
      <c r="B252" t="s">
        <v>1155</v>
      </c>
      <c r="C252" t="s">
        <v>144</v>
      </c>
      <c r="D252" t="str">
        <f t="shared" si="3"/>
        <v>CBJ46171.1_Erwinia_FliF</v>
      </c>
    </row>
    <row r="253" spans="1:4" x14ac:dyDescent="0.2">
      <c r="A253" t="s">
        <v>263</v>
      </c>
      <c r="B253" t="s">
        <v>1155</v>
      </c>
      <c r="C253" t="s">
        <v>982</v>
      </c>
      <c r="D253" t="str">
        <f t="shared" si="3"/>
        <v>CBJ46227.1_Erwinia_T3SS</v>
      </c>
    </row>
    <row r="254" spans="1:4" x14ac:dyDescent="0.2">
      <c r="A254" t="s">
        <v>264</v>
      </c>
      <c r="B254" t="s">
        <v>1155</v>
      </c>
      <c r="C254" t="s">
        <v>144</v>
      </c>
      <c r="D254" t="str">
        <f t="shared" si="3"/>
        <v>CBJ47254.1_Erwinia_FliF</v>
      </c>
    </row>
    <row r="255" spans="1:4" x14ac:dyDescent="0.2">
      <c r="A255" t="s">
        <v>265</v>
      </c>
      <c r="B255" t="s">
        <v>1155</v>
      </c>
      <c r="C255" t="s">
        <v>982</v>
      </c>
      <c r="D255" t="str">
        <f t="shared" si="3"/>
        <v>CBJ47346.1_Erwinia_T3SS</v>
      </c>
    </row>
    <row r="256" spans="1:4" x14ac:dyDescent="0.2">
      <c r="A256" t="s">
        <v>266</v>
      </c>
      <c r="B256" t="s">
        <v>1155</v>
      </c>
      <c r="C256" t="s">
        <v>982</v>
      </c>
      <c r="D256" t="str">
        <f t="shared" si="3"/>
        <v>CBJ47559.1_Erwinia_T3SS</v>
      </c>
    </row>
    <row r="257" spans="1:4" x14ac:dyDescent="0.2">
      <c r="A257" t="s">
        <v>267</v>
      </c>
      <c r="B257" t="s">
        <v>1156</v>
      </c>
      <c r="C257" t="s">
        <v>1056</v>
      </c>
      <c r="D257" t="str">
        <f t="shared" si="3"/>
        <v>CAQ71857.1_Cupriavidus_T3SS_SctJ</v>
      </c>
    </row>
    <row r="258" spans="1:4" x14ac:dyDescent="0.2">
      <c r="A258" t="s">
        <v>268</v>
      </c>
      <c r="B258" t="s">
        <v>1156</v>
      </c>
      <c r="C258" t="s">
        <v>144</v>
      </c>
      <c r="D258" t="str">
        <f t="shared" si="3"/>
        <v>CAQ72721.1_Cupriavidus_FliF</v>
      </c>
    </row>
    <row r="259" spans="1:4" x14ac:dyDescent="0.2">
      <c r="A259" t="s">
        <v>269</v>
      </c>
      <c r="B259" t="s">
        <v>1157</v>
      </c>
      <c r="C259" t="s">
        <v>144</v>
      </c>
      <c r="D259" t="str">
        <f t="shared" ref="D259:D322" si="4">A259&amp;"_"&amp;B259&amp;"_"&amp;C259</f>
        <v>CAJ49324.1_Bordetella_FliF</v>
      </c>
    </row>
    <row r="260" spans="1:4" x14ac:dyDescent="0.2">
      <c r="A260" t="s">
        <v>270</v>
      </c>
      <c r="B260" t="s">
        <v>1136</v>
      </c>
      <c r="C260" t="s">
        <v>144</v>
      </c>
      <c r="D260" t="str">
        <f t="shared" si="4"/>
        <v>BAJ01403.1_Shewanella_FliF</v>
      </c>
    </row>
    <row r="261" spans="1:4" x14ac:dyDescent="0.2">
      <c r="A261" t="s">
        <v>271</v>
      </c>
      <c r="B261" t="s">
        <v>1136</v>
      </c>
      <c r="C261" t="s">
        <v>982</v>
      </c>
      <c r="D261" t="str">
        <f t="shared" si="4"/>
        <v>BAJ02212.1_Shewanella_T3SS</v>
      </c>
    </row>
    <row r="262" spans="1:4" x14ac:dyDescent="0.2">
      <c r="A262" t="s">
        <v>272</v>
      </c>
      <c r="B262" t="s">
        <v>1158</v>
      </c>
      <c r="C262" t="s">
        <v>144</v>
      </c>
      <c r="D262" t="str">
        <f t="shared" si="4"/>
        <v>AAK86337.1_Agrobacterium_FliF</v>
      </c>
    </row>
    <row r="263" spans="1:4" x14ac:dyDescent="0.2">
      <c r="A263" t="s">
        <v>273</v>
      </c>
      <c r="B263" t="s">
        <v>1159</v>
      </c>
      <c r="C263" t="s">
        <v>144</v>
      </c>
      <c r="D263" t="str">
        <f t="shared" si="4"/>
        <v>ADG94151.1_Arcobacter_FliF</v>
      </c>
    </row>
    <row r="264" spans="1:4" x14ac:dyDescent="0.2">
      <c r="A264" t="s">
        <v>274</v>
      </c>
      <c r="B264" t="s">
        <v>1160</v>
      </c>
      <c r="C264" t="s">
        <v>144</v>
      </c>
      <c r="D264" t="str">
        <f t="shared" si="4"/>
        <v>ADL02120.1_Brevundimonas_FliF</v>
      </c>
    </row>
    <row r="265" spans="1:4" x14ac:dyDescent="0.2">
      <c r="A265" t="s">
        <v>275</v>
      </c>
      <c r="B265" t="s">
        <v>1099</v>
      </c>
      <c r="C265" t="s">
        <v>144</v>
      </c>
      <c r="D265" t="str">
        <f t="shared" si="4"/>
        <v>ADL43221.1_Caldicellulosiruptor_FliF</v>
      </c>
    </row>
    <row r="266" spans="1:4" x14ac:dyDescent="0.2">
      <c r="A266" t="s">
        <v>276</v>
      </c>
      <c r="B266" t="s">
        <v>1136</v>
      </c>
      <c r="C266" t="s">
        <v>144</v>
      </c>
      <c r="D266" t="str">
        <f t="shared" si="4"/>
        <v>AAN56227.2_Shewanella_FliF</v>
      </c>
    </row>
    <row r="267" spans="1:4" x14ac:dyDescent="0.2">
      <c r="A267" t="s">
        <v>277</v>
      </c>
      <c r="B267" t="s">
        <v>1161</v>
      </c>
      <c r="C267" t="s">
        <v>144</v>
      </c>
      <c r="D267" t="str">
        <f t="shared" si="4"/>
        <v>ADN09694.1_Sulfurimonas_FliF</v>
      </c>
    </row>
    <row r="268" spans="1:4" x14ac:dyDescent="0.2">
      <c r="A268" t="s">
        <v>278</v>
      </c>
      <c r="B268" t="s">
        <v>1114</v>
      </c>
      <c r="C268" t="s">
        <v>144</v>
      </c>
      <c r="D268" t="str">
        <f t="shared" si="4"/>
        <v>EAP94048.1_Vibrio_FliF</v>
      </c>
    </row>
    <row r="269" spans="1:4" x14ac:dyDescent="0.2">
      <c r="A269" t="s">
        <v>279</v>
      </c>
      <c r="B269" t="s">
        <v>1162</v>
      </c>
      <c r="C269" t="s">
        <v>144</v>
      </c>
      <c r="D269" t="str">
        <f t="shared" si="4"/>
        <v>EAR29538.1_Pseudoalteromonas_FliF</v>
      </c>
    </row>
    <row r="270" spans="1:4" x14ac:dyDescent="0.2">
      <c r="A270" t="s">
        <v>280</v>
      </c>
      <c r="B270" t="s">
        <v>1114</v>
      </c>
      <c r="C270" t="s">
        <v>982</v>
      </c>
      <c r="D270" t="str">
        <f t="shared" si="4"/>
        <v>EAS77065.1_Vibrio_T3SS</v>
      </c>
    </row>
    <row r="271" spans="1:4" x14ac:dyDescent="0.2">
      <c r="A271" t="s">
        <v>281</v>
      </c>
      <c r="B271" t="s">
        <v>1114</v>
      </c>
      <c r="C271" t="s">
        <v>144</v>
      </c>
      <c r="D271" t="str">
        <f t="shared" si="4"/>
        <v>EAS77894.1_Vibrio_FliF</v>
      </c>
    </row>
    <row r="272" spans="1:4" x14ac:dyDescent="0.2">
      <c r="A272" t="s">
        <v>282</v>
      </c>
      <c r="B272" t="s">
        <v>1114</v>
      </c>
      <c r="C272" t="s">
        <v>144</v>
      </c>
      <c r="D272" t="str">
        <f t="shared" si="4"/>
        <v>EAS78287.1_Vibrio_FliF</v>
      </c>
    </row>
    <row r="273" spans="1:4" x14ac:dyDescent="0.2">
      <c r="A273" t="s">
        <v>283</v>
      </c>
      <c r="B273" t="s">
        <v>1163</v>
      </c>
      <c r="C273" t="s">
        <v>144</v>
      </c>
      <c r="D273" t="str">
        <f t="shared" si="4"/>
        <v>AGI74751.1_Octadecabacter_FliF</v>
      </c>
    </row>
    <row r="274" spans="1:4" x14ac:dyDescent="0.2">
      <c r="A274" t="s">
        <v>284</v>
      </c>
      <c r="B274" t="s">
        <v>1164</v>
      </c>
      <c r="C274" t="s">
        <v>1252</v>
      </c>
      <c r="D274" t="str">
        <f t="shared" si="4"/>
        <v>ADO70830.1_Stigmatella_T3SS_YscJ_HrcJ</v>
      </c>
    </row>
    <row r="275" spans="1:4" x14ac:dyDescent="0.2">
      <c r="A275" t="s">
        <v>285</v>
      </c>
      <c r="B275" t="s">
        <v>1164</v>
      </c>
      <c r="C275" t="s">
        <v>982</v>
      </c>
      <c r="D275" t="str">
        <f t="shared" si="4"/>
        <v>ADO74089.1_Stigmatella_T3SS</v>
      </c>
    </row>
    <row r="276" spans="1:4" x14ac:dyDescent="0.2">
      <c r="A276" t="s">
        <v>286</v>
      </c>
      <c r="B276" t="s">
        <v>1133</v>
      </c>
      <c r="C276" t="s">
        <v>144</v>
      </c>
      <c r="D276" t="str">
        <f t="shared" si="4"/>
        <v>ADP98090.1_Marinobacter_FliF</v>
      </c>
    </row>
    <row r="277" spans="1:4" x14ac:dyDescent="0.2">
      <c r="A277" t="s">
        <v>287</v>
      </c>
      <c r="B277" t="s">
        <v>1165</v>
      </c>
      <c r="C277" t="s">
        <v>144</v>
      </c>
      <c r="D277" t="str">
        <f t="shared" si="4"/>
        <v>EEQ09431.1_Yersinia_FliF</v>
      </c>
    </row>
    <row r="278" spans="1:4" x14ac:dyDescent="0.2">
      <c r="A278" t="s">
        <v>288</v>
      </c>
      <c r="B278" t="s">
        <v>1165</v>
      </c>
      <c r="C278" t="s">
        <v>144</v>
      </c>
      <c r="D278" t="str">
        <f t="shared" si="4"/>
        <v>EEQ11004.1_Yersinia_FliF</v>
      </c>
    </row>
    <row r="279" spans="1:4" x14ac:dyDescent="0.2">
      <c r="A279" t="s">
        <v>289</v>
      </c>
      <c r="B279" t="s">
        <v>1165</v>
      </c>
      <c r="C279" t="s">
        <v>982</v>
      </c>
      <c r="D279" t="str">
        <f t="shared" si="4"/>
        <v>EEQ11873.1_Yersinia_T3SS</v>
      </c>
    </row>
    <row r="280" spans="1:4" x14ac:dyDescent="0.2">
      <c r="A280" t="s">
        <v>290</v>
      </c>
      <c r="B280" t="s">
        <v>1165</v>
      </c>
      <c r="C280" t="s">
        <v>982</v>
      </c>
      <c r="D280" t="str">
        <f t="shared" si="4"/>
        <v>EDR30632.1_Yersinia_T3SS</v>
      </c>
    </row>
    <row r="281" spans="1:4" x14ac:dyDescent="0.2">
      <c r="A281" t="s">
        <v>291</v>
      </c>
      <c r="B281" t="s">
        <v>1165</v>
      </c>
      <c r="C281" t="s">
        <v>144</v>
      </c>
      <c r="D281" t="str">
        <f t="shared" si="4"/>
        <v>EDR31677.1_Yersinia_FliF</v>
      </c>
    </row>
    <row r="282" spans="1:4" x14ac:dyDescent="0.2">
      <c r="A282" t="s">
        <v>292</v>
      </c>
      <c r="B282" t="s">
        <v>1165</v>
      </c>
      <c r="C282" t="s">
        <v>144</v>
      </c>
      <c r="D282" t="str">
        <f t="shared" si="4"/>
        <v>EDR31898.1_Yersinia_FliF</v>
      </c>
    </row>
    <row r="283" spans="1:4" x14ac:dyDescent="0.2">
      <c r="A283" t="s">
        <v>293</v>
      </c>
      <c r="B283" t="s">
        <v>1165</v>
      </c>
      <c r="C283" t="s">
        <v>1252</v>
      </c>
      <c r="D283" t="str">
        <f t="shared" si="4"/>
        <v>EDR34178.1_Yersinia_T3SS_YscJ_HrcJ</v>
      </c>
    </row>
    <row r="284" spans="1:4" x14ac:dyDescent="0.2">
      <c r="A284" t="s">
        <v>294</v>
      </c>
      <c r="B284" t="s">
        <v>1166</v>
      </c>
      <c r="C284" t="s">
        <v>144</v>
      </c>
      <c r="D284" t="str">
        <f t="shared" si="4"/>
        <v>EED69689.1_Comamonas_FliF</v>
      </c>
    </row>
    <row r="285" spans="1:4" x14ac:dyDescent="0.2">
      <c r="A285" t="s">
        <v>295</v>
      </c>
      <c r="B285" t="s">
        <v>1167</v>
      </c>
      <c r="C285" t="s">
        <v>144</v>
      </c>
      <c r="D285" t="str">
        <f t="shared" si="4"/>
        <v>AFS36517.1_Alteromonas_FliF</v>
      </c>
    </row>
    <row r="286" spans="1:4" x14ac:dyDescent="0.2">
      <c r="A286" t="s">
        <v>296</v>
      </c>
      <c r="B286" t="s">
        <v>1076</v>
      </c>
      <c r="C286" t="s">
        <v>144</v>
      </c>
      <c r="D286" t="str">
        <f t="shared" si="4"/>
        <v>EEG76529.1_Dethiobacter_FliF</v>
      </c>
    </row>
    <row r="287" spans="1:4" x14ac:dyDescent="0.2">
      <c r="A287" t="s">
        <v>297</v>
      </c>
      <c r="B287" t="s">
        <v>1114</v>
      </c>
      <c r="C287" t="s">
        <v>144</v>
      </c>
      <c r="D287" t="str">
        <f t="shared" si="4"/>
        <v>EEW07867.1_Vibrio_FliF</v>
      </c>
    </row>
    <row r="288" spans="1:4" x14ac:dyDescent="0.2">
      <c r="A288" t="s">
        <v>298</v>
      </c>
      <c r="B288" t="s">
        <v>1114</v>
      </c>
      <c r="C288" t="s">
        <v>144</v>
      </c>
      <c r="D288" t="str">
        <f t="shared" si="4"/>
        <v>EDL51980.1_Vibrio_FliF</v>
      </c>
    </row>
    <row r="289" spans="1:4" x14ac:dyDescent="0.2">
      <c r="A289" t="s">
        <v>299</v>
      </c>
      <c r="B289" t="s">
        <v>1114</v>
      </c>
      <c r="C289" t="s">
        <v>144</v>
      </c>
      <c r="D289" t="str">
        <f t="shared" si="4"/>
        <v>EDL53309.1_Vibrio_FliF</v>
      </c>
    </row>
    <row r="290" spans="1:4" x14ac:dyDescent="0.2">
      <c r="A290" t="s">
        <v>300</v>
      </c>
      <c r="B290" t="s">
        <v>1168</v>
      </c>
      <c r="C290" t="s">
        <v>144</v>
      </c>
      <c r="D290" t="str">
        <f t="shared" si="4"/>
        <v>EGW20512.1_Methylobacter_FliF</v>
      </c>
    </row>
    <row r="291" spans="1:4" x14ac:dyDescent="0.2">
      <c r="A291" t="s">
        <v>301</v>
      </c>
      <c r="B291" t="s">
        <v>1169</v>
      </c>
      <c r="C291" t="s">
        <v>1252</v>
      </c>
      <c r="D291" t="str">
        <f t="shared" si="4"/>
        <v>ADZ90362.1_Marinomonas_T3SS_YscJ_HrcJ</v>
      </c>
    </row>
    <row r="292" spans="1:4" x14ac:dyDescent="0.2">
      <c r="A292" t="s">
        <v>302</v>
      </c>
      <c r="B292" t="s">
        <v>1169</v>
      </c>
      <c r="C292" t="s">
        <v>144</v>
      </c>
      <c r="D292" t="str">
        <f t="shared" si="4"/>
        <v>ADZ92454.1_Marinomonas_FliF</v>
      </c>
    </row>
    <row r="293" spans="1:4" x14ac:dyDescent="0.2">
      <c r="A293" t="s">
        <v>303</v>
      </c>
      <c r="B293" t="s">
        <v>1170</v>
      </c>
      <c r="C293" t="s">
        <v>982</v>
      </c>
      <c r="D293" t="str">
        <f t="shared" si="4"/>
        <v>AAS94345.1_Desulfovibrio_T3SS</v>
      </c>
    </row>
    <row r="294" spans="1:4" x14ac:dyDescent="0.2">
      <c r="A294" t="s">
        <v>304</v>
      </c>
      <c r="B294" t="s">
        <v>1170</v>
      </c>
      <c r="C294" t="s">
        <v>144</v>
      </c>
      <c r="D294" t="str">
        <f t="shared" si="4"/>
        <v>AAS94796.1_Desulfovibrio_FliF</v>
      </c>
    </row>
    <row r="295" spans="1:4" x14ac:dyDescent="0.2">
      <c r="A295" t="s">
        <v>305</v>
      </c>
      <c r="B295" t="s">
        <v>1114</v>
      </c>
      <c r="C295" t="s">
        <v>982</v>
      </c>
      <c r="D295" t="str">
        <f t="shared" si="4"/>
        <v>BAC59953.1_Vibrio_T3SS</v>
      </c>
    </row>
    <row r="296" spans="1:4" x14ac:dyDescent="0.2">
      <c r="A296" t="s">
        <v>306</v>
      </c>
      <c r="B296" t="s">
        <v>1114</v>
      </c>
      <c r="C296" t="s">
        <v>144</v>
      </c>
      <c r="D296" t="str">
        <f t="shared" si="4"/>
        <v>BAC60512.1_Vibrio_FliF</v>
      </c>
    </row>
    <row r="297" spans="1:4" x14ac:dyDescent="0.2">
      <c r="A297" t="s">
        <v>307</v>
      </c>
      <c r="B297" t="s">
        <v>1114</v>
      </c>
      <c r="C297" t="s">
        <v>144</v>
      </c>
      <c r="D297" t="str">
        <f t="shared" si="4"/>
        <v>BAC62879.1_Vibrio_FliF</v>
      </c>
    </row>
    <row r="298" spans="1:4" x14ac:dyDescent="0.2">
      <c r="A298" t="s">
        <v>308</v>
      </c>
      <c r="B298" t="s">
        <v>1171</v>
      </c>
      <c r="C298" t="s">
        <v>144</v>
      </c>
      <c r="D298" t="str">
        <f t="shared" si="4"/>
        <v>CAE11001.1_Wolinella_FliF</v>
      </c>
    </row>
    <row r="299" spans="1:4" x14ac:dyDescent="0.2">
      <c r="A299" t="s">
        <v>309</v>
      </c>
      <c r="B299" t="s">
        <v>1172</v>
      </c>
      <c r="C299" t="s">
        <v>144</v>
      </c>
      <c r="D299" t="str">
        <f t="shared" si="4"/>
        <v>CAG18477.1_Photobacterium_FliF</v>
      </c>
    </row>
    <row r="300" spans="1:4" x14ac:dyDescent="0.2">
      <c r="A300" t="s">
        <v>310</v>
      </c>
      <c r="B300" t="s">
        <v>1172</v>
      </c>
      <c r="C300" t="s">
        <v>144</v>
      </c>
      <c r="D300" t="str">
        <f t="shared" si="4"/>
        <v>GAA06088.1_Photobacterium_FliF</v>
      </c>
    </row>
    <row r="301" spans="1:4" x14ac:dyDescent="0.2">
      <c r="A301" t="s">
        <v>311</v>
      </c>
      <c r="B301" t="s">
        <v>1173</v>
      </c>
      <c r="C301" t="s">
        <v>144</v>
      </c>
      <c r="D301" t="str">
        <f t="shared" si="4"/>
        <v>EGI75820.1_Hylemonella_FliF</v>
      </c>
    </row>
    <row r="302" spans="1:4" x14ac:dyDescent="0.2">
      <c r="A302" t="s">
        <v>312</v>
      </c>
      <c r="B302" t="s">
        <v>1077</v>
      </c>
      <c r="C302" t="s">
        <v>144</v>
      </c>
      <c r="D302" t="str">
        <f t="shared" si="4"/>
        <v>EGO63145.1_Acetonema_FliF</v>
      </c>
    </row>
    <row r="303" spans="1:4" x14ac:dyDescent="0.2">
      <c r="A303" t="s">
        <v>313</v>
      </c>
      <c r="B303" t="s">
        <v>1087</v>
      </c>
      <c r="C303" t="s">
        <v>144</v>
      </c>
      <c r="D303" t="str">
        <f t="shared" si="4"/>
        <v>AEI88715.1_Candidatus_FliF</v>
      </c>
    </row>
    <row r="304" spans="1:4" x14ac:dyDescent="0.2">
      <c r="A304" t="s">
        <v>314</v>
      </c>
      <c r="B304" t="s">
        <v>1174</v>
      </c>
      <c r="C304" t="s">
        <v>144</v>
      </c>
      <c r="D304" t="str">
        <f t="shared" si="4"/>
        <v>AEO47029.1_Rhodospirillum_FliF</v>
      </c>
    </row>
    <row r="305" spans="1:4" x14ac:dyDescent="0.2">
      <c r="A305" t="s">
        <v>315</v>
      </c>
      <c r="B305" t="s">
        <v>1175</v>
      </c>
      <c r="C305" t="s">
        <v>144</v>
      </c>
      <c r="D305" t="str">
        <f t="shared" si="4"/>
        <v>AEP09101.1_Micavibrio_FliF</v>
      </c>
    </row>
    <row r="306" spans="1:4" x14ac:dyDescent="0.2">
      <c r="A306" t="s">
        <v>316</v>
      </c>
      <c r="B306" t="s">
        <v>1176</v>
      </c>
      <c r="C306" t="s">
        <v>144</v>
      </c>
      <c r="D306" t="str">
        <f t="shared" si="4"/>
        <v>AEP30462.1_Glaciecola_FliF</v>
      </c>
    </row>
    <row r="307" spans="1:4" x14ac:dyDescent="0.2">
      <c r="A307" t="s">
        <v>317</v>
      </c>
      <c r="B307" t="s">
        <v>1133</v>
      </c>
      <c r="C307" t="s">
        <v>144</v>
      </c>
      <c r="D307" t="str">
        <f t="shared" si="4"/>
        <v>EHJ04466.1_Marinobacter_FliF</v>
      </c>
    </row>
    <row r="308" spans="1:4" x14ac:dyDescent="0.2">
      <c r="A308" t="s">
        <v>318</v>
      </c>
      <c r="B308" t="s">
        <v>1177</v>
      </c>
      <c r="C308" t="s">
        <v>144</v>
      </c>
      <c r="D308" t="str">
        <f t="shared" si="4"/>
        <v>EHM37691.1_Hafnia_FliF</v>
      </c>
    </row>
    <row r="309" spans="1:4" x14ac:dyDescent="0.2">
      <c r="A309" t="s">
        <v>319</v>
      </c>
      <c r="B309" t="s">
        <v>1177</v>
      </c>
      <c r="C309" t="s">
        <v>144</v>
      </c>
      <c r="D309" t="str">
        <f t="shared" si="4"/>
        <v>EHM41863.1_Hafnia_FliF</v>
      </c>
    </row>
    <row r="310" spans="1:4" x14ac:dyDescent="0.2">
      <c r="A310" t="s">
        <v>320</v>
      </c>
      <c r="B310" t="s">
        <v>1178</v>
      </c>
      <c r="C310" t="s">
        <v>144</v>
      </c>
      <c r="D310" t="str">
        <f t="shared" si="4"/>
        <v>EHR42289.1_Alishewanella_FliF</v>
      </c>
    </row>
    <row r="311" spans="1:4" x14ac:dyDescent="0.2">
      <c r="A311" t="s">
        <v>321</v>
      </c>
      <c r="B311" t="s">
        <v>1179</v>
      </c>
      <c r="C311" t="s">
        <v>144</v>
      </c>
      <c r="D311" t="str">
        <f t="shared" si="4"/>
        <v>AFA40924.1_Wigglesworthia_FliF</v>
      </c>
    </row>
    <row r="312" spans="1:4" x14ac:dyDescent="0.2">
      <c r="A312" t="s">
        <v>322</v>
      </c>
      <c r="B312" t="s">
        <v>1180</v>
      </c>
      <c r="C312" t="s">
        <v>982</v>
      </c>
      <c r="D312" t="str">
        <f t="shared" si="4"/>
        <v>CCB85093.1_Parachlamydia_T3SS</v>
      </c>
    </row>
    <row r="313" spans="1:4" x14ac:dyDescent="0.2">
      <c r="A313" t="s">
        <v>323</v>
      </c>
      <c r="B313" t="s">
        <v>1180</v>
      </c>
      <c r="C313" t="s">
        <v>982</v>
      </c>
      <c r="D313" t="str">
        <f t="shared" si="4"/>
        <v>CCB86648.1_Parachlamydia_T3SS</v>
      </c>
    </row>
    <row r="314" spans="1:4" x14ac:dyDescent="0.2">
      <c r="A314" t="s">
        <v>324</v>
      </c>
      <c r="B314" t="s">
        <v>1181</v>
      </c>
      <c r="C314" t="s">
        <v>982</v>
      </c>
      <c r="D314" t="str">
        <f t="shared" si="4"/>
        <v>AFE09625.1_Corallococcus_T3SS</v>
      </c>
    </row>
    <row r="315" spans="1:4" x14ac:dyDescent="0.2">
      <c r="A315" t="s">
        <v>325</v>
      </c>
      <c r="B315" t="s">
        <v>1181</v>
      </c>
      <c r="C315" t="s">
        <v>1252</v>
      </c>
      <c r="D315" t="str">
        <f t="shared" si="4"/>
        <v>AFE11130.1_Corallococcus_T3SS_YscJ_HrcJ</v>
      </c>
    </row>
    <row r="316" spans="1:4" x14ac:dyDescent="0.2">
      <c r="A316" t="s">
        <v>326</v>
      </c>
      <c r="B316" t="s">
        <v>1182</v>
      </c>
      <c r="C316" t="s">
        <v>144</v>
      </c>
      <c r="D316" t="str">
        <f t="shared" si="4"/>
        <v>AFL88119.1_Terriglobus_FliF</v>
      </c>
    </row>
    <row r="317" spans="1:4" x14ac:dyDescent="0.2">
      <c r="A317" t="s">
        <v>327</v>
      </c>
      <c r="B317" t="s">
        <v>1183</v>
      </c>
      <c r="C317" t="s">
        <v>144</v>
      </c>
      <c r="D317" t="str">
        <f t="shared" si="4"/>
        <v>BAK64968.1_Sphingobium_FliF</v>
      </c>
    </row>
    <row r="318" spans="1:4" x14ac:dyDescent="0.2">
      <c r="A318" t="s">
        <v>328</v>
      </c>
      <c r="B318" t="s">
        <v>1184</v>
      </c>
      <c r="C318" t="s">
        <v>144</v>
      </c>
      <c r="D318" t="str">
        <f t="shared" si="4"/>
        <v>BAM05992.1_Leptospirillum_FliF</v>
      </c>
    </row>
    <row r="319" spans="1:4" x14ac:dyDescent="0.2">
      <c r="A319" t="s">
        <v>329</v>
      </c>
      <c r="B319" t="s">
        <v>1185</v>
      </c>
      <c r="C319" t="s">
        <v>14</v>
      </c>
      <c r="D319" t="str">
        <f t="shared" si="4"/>
        <v>BAL07685.1_Bradyrhizobium_hypothetical</v>
      </c>
    </row>
    <row r="320" spans="1:4" x14ac:dyDescent="0.2">
      <c r="A320" t="s">
        <v>330</v>
      </c>
      <c r="B320" t="s">
        <v>1185</v>
      </c>
      <c r="C320" t="s">
        <v>144</v>
      </c>
      <c r="D320" t="str">
        <f t="shared" si="4"/>
        <v>BAL07813.1_Bradyrhizobium_FliF</v>
      </c>
    </row>
    <row r="321" spans="1:4" x14ac:dyDescent="0.2">
      <c r="A321" t="s">
        <v>331</v>
      </c>
      <c r="B321" t="s">
        <v>1185</v>
      </c>
      <c r="C321" t="s">
        <v>987</v>
      </c>
      <c r="D321" t="str">
        <f t="shared" si="4"/>
        <v>BAL13256.1_Bradyrhizobium_T3SS_RhcJ</v>
      </c>
    </row>
    <row r="322" spans="1:4" x14ac:dyDescent="0.2">
      <c r="A322" t="s">
        <v>332</v>
      </c>
      <c r="B322" t="s">
        <v>1133</v>
      </c>
      <c r="C322" t="s">
        <v>144</v>
      </c>
      <c r="D322" t="str">
        <f t="shared" si="4"/>
        <v>CCG94784.1_Marinobacter_FliF</v>
      </c>
    </row>
    <row r="323" spans="1:4" x14ac:dyDescent="0.2">
      <c r="A323" t="s">
        <v>333</v>
      </c>
      <c r="B323" t="s">
        <v>1186</v>
      </c>
      <c r="C323" t="s">
        <v>984</v>
      </c>
      <c r="D323" t="str">
        <f t="shared" ref="D323:D386" si="5">A323&amp;"_"&amp;B323&amp;"_"&amp;C323</f>
        <v>AGG29087.1_Morganella_T3SS_HrcJ</v>
      </c>
    </row>
    <row r="324" spans="1:4" x14ac:dyDescent="0.2">
      <c r="A324" t="s">
        <v>334</v>
      </c>
      <c r="B324" t="s">
        <v>1186</v>
      </c>
      <c r="C324" t="s">
        <v>144</v>
      </c>
      <c r="D324" t="str">
        <f t="shared" si="5"/>
        <v>AGG30848.1_Morganella_FliF</v>
      </c>
    </row>
    <row r="325" spans="1:4" x14ac:dyDescent="0.2">
      <c r="A325" t="s">
        <v>335</v>
      </c>
      <c r="B325" t="s">
        <v>1068</v>
      </c>
      <c r="C325" t="s">
        <v>144</v>
      </c>
      <c r="D325" t="str">
        <f t="shared" si="5"/>
        <v>KGA98254.1_Alkalihalobacillus_FliF</v>
      </c>
    </row>
    <row r="326" spans="1:4" x14ac:dyDescent="0.2">
      <c r="A326" t="s">
        <v>336</v>
      </c>
      <c r="B326" t="s">
        <v>1187</v>
      </c>
      <c r="C326" t="s">
        <v>144</v>
      </c>
      <c r="D326" t="str">
        <f t="shared" si="5"/>
        <v>AFV41573.1_Helicobacter_FliF</v>
      </c>
    </row>
    <row r="327" spans="1:4" x14ac:dyDescent="0.2">
      <c r="A327" t="s">
        <v>337</v>
      </c>
      <c r="B327" t="s">
        <v>1107</v>
      </c>
      <c r="C327" t="s">
        <v>144</v>
      </c>
      <c r="D327" t="str">
        <f t="shared" si="5"/>
        <v>EKT86534.2_Leptospira_FliF</v>
      </c>
    </row>
    <row r="328" spans="1:4" x14ac:dyDescent="0.2">
      <c r="A328" t="s">
        <v>338</v>
      </c>
      <c r="B328" t="s">
        <v>1188</v>
      </c>
      <c r="C328" t="s">
        <v>144</v>
      </c>
      <c r="D328" t="str">
        <f t="shared" si="5"/>
        <v>GAC24878.1_Paraglaciecola_FliF</v>
      </c>
    </row>
    <row r="329" spans="1:4" x14ac:dyDescent="0.2">
      <c r="A329" t="s">
        <v>339</v>
      </c>
      <c r="B329" t="s">
        <v>1189</v>
      </c>
      <c r="C329" t="s">
        <v>144</v>
      </c>
      <c r="D329" t="str">
        <f t="shared" si="5"/>
        <v>CCJ72125.1_Cronobacter_FliF</v>
      </c>
    </row>
    <row r="330" spans="1:4" x14ac:dyDescent="0.2">
      <c r="A330" t="s">
        <v>340</v>
      </c>
      <c r="B330" t="s">
        <v>1190</v>
      </c>
      <c r="C330" t="s">
        <v>982</v>
      </c>
      <c r="D330" t="str">
        <f t="shared" si="5"/>
        <v>AGC49958.1_Lawsonia_T3SS</v>
      </c>
    </row>
    <row r="331" spans="1:4" x14ac:dyDescent="0.2">
      <c r="A331" t="s">
        <v>341</v>
      </c>
      <c r="B331" t="s">
        <v>1190</v>
      </c>
      <c r="C331" t="s">
        <v>144</v>
      </c>
      <c r="D331" t="str">
        <f t="shared" si="5"/>
        <v>AGC50281.1_Lawsonia_FliF</v>
      </c>
    </row>
    <row r="332" spans="1:4" x14ac:dyDescent="0.2">
      <c r="A332" t="s">
        <v>342</v>
      </c>
      <c r="B332" t="s">
        <v>1190</v>
      </c>
      <c r="C332" t="s">
        <v>1252</v>
      </c>
      <c r="D332" t="str">
        <f t="shared" si="5"/>
        <v>AGC50595.1_Lawsonia_T3SS_YscJ_HrcJ</v>
      </c>
    </row>
    <row r="333" spans="1:4" x14ac:dyDescent="0.2">
      <c r="A333" t="s">
        <v>343</v>
      </c>
      <c r="B333" t="s">
        <v>1162</v>
      </c>
      <c r="C333" t="s">
        <v>144</v>
      </c>
      <c r="D333" t="str">
        <f t="shared" si="5"/>
        <v>CCQ09730.1_Pseudoalteromonas_FliF</v>
      </c>
    </row>
    <row r="334" spans="1:4" x14ac:dyDescent="0.2">
      <c r="A334" t="s">
        <v>344</v>
      </c>
      <c r="B334" t="s">
        <v>1104</v>
      </c>
      <c r="C334" t="s">
        <v>984</v>
      </c>
      <c r="D334" t="str">
        <f t="shared" si="5"/>
        <v>AGH75953.1_Xanthomonas_T3SS_HrcJ</v>
      </c>
    </row>
    <row r="335" spans="1:4" x14ac:dyDescent="0.2">
      <c r="A335" t="s">
        <v>345</v>
      </c>
      <c r="B335" t="s">
        <v>1104</v>
      </c>
      <c r="C335" t="s">
        <v>144</v>
      </c>
      <c r="D335" t="str">
        <f t="shared" si="5"/>
        <v>AGH77446.1_Xanthomonas_FliF</v>
      </c>
    </row>
    <row r="336" spans="1:4" x14ac:dyDescent="0.2">
      <c r="A336" t="s">
        <v>346</v>
      </c>
      <c r="B336" t="s">
        <v>1191</v>
      </c>
      <c r="C336" t="s">
        <v>144</v>
      </c>
      <c r="D336" t="str">
        <f t="shared" si="5"/>
        <v>AGH96362.1_Pseudobdellovibrio_FliF</v>
      </c>
    </row>
    <row r="337" spans="1:4" x14ac:dyDescent="0.2">
      <c r="A337" t="s">
        <v>347</v>
      </c>
      <c r="B337" t="s">
        <v>1192</v>
      </c>
      <c r="C337" t="s">
        <v>144</v>
      </c>
      <c r="D337" t="str">
        <f t="shared" si="5"/>
        <v>CCW35059.1_Chthonomonas_FliF</v>
      </c>
    </row>
    <row r="338" spans="1:4" x14ac:dyDescent="0.2">
      <c r="A338" t="s">
        <v>348</v>
      </c>
      <c r="B338" t="s">
        <v>1105</v>
      </c>
      <c r="C338" t="s">
        <v>982</v>
      </c>
      <c r="D338" t="str">
        <f t="shared" si="5"/>
        <v>AGW38362.1_Chlamydia_T3SS</v>
      </c>
    </row>
    <row r="339" spans="1:4" x14ac:dyDescent="0.2">
      <c r="A339" t="s">
        <v>349</v>
      </c>
      <c r="B339" t="s">
        <v>1087</v>
      </c>
      <c r="C339" t="s">
        <v>144</v>
      </c>
      <c r="D339" t="str">
        <f t="shared" si="5"/>
        <v>EPE37900.1_Candidatus_FliF</v>
      </c>
    </row>
    <row r="340" spans="1:4" x14ac:dyDescent="0.2">
      <c r="A340" t="s">
        <v>350</v>
      </c>
      <c r="B340" t="s">
        <v>1193</v>
      </c>
      <c r="C340" t="s">
        <v>144</v>
      </c>
      <c r="D340" t="str">
        <f t="shared" si="5"/>
        <v>USF24605.1_Mucispirillum_FliF</v>
      </c>
    </row>
    <row r="341" spans="1:4" x14ac:dyDescent="0.2">
      <c r="A341" t="s">
        <v>351</v>
      </c>
      <c r="B341" t="s">
        <v>1115</v>
      </c>
      <c r="C341" t="s">
        <v>144</v>
      </c>
      <c r="D341" t="str">
        <f t="shared" si="5"/>
        <v>CDL00846.1_Magnetospirillum_FliF</v>
      </c>
    </row>
    <row r="342" spans="1:4" x14ac:dyDescent="0.2">
      <c r="A342" t="s">
        <v>352</v>
      </c>
      <c r="B342" t="s">
        <v>1194</v>
      </c>
      <c r="C342" t="s">
        <v>144</v>
      </c>
      <c r="D342" t="str">
        <f t="shared" si="5"/>
        <v>AHF75271.1_Sodalis_FliF</v>
      </c>
    </row>
    <row r="343" spans="1:4" x14ac:dyDescent="0.2">
      <c r="A343" t="s">
        <v>353</v>
      </c>
      <c r="B343" t="s">
        <v>1194</v>
      </c>
      <c r="C343" t="s">
        <v>982</v>
      </c>
      <c r="D343" t="str">
        <f t="shared" si="5"/>
        <v>AHF75698.1_Sodalis_T3SS</v>
      </c>
    </row>
    <row r="344" spans="1:4" x14ac:dyDescent="0.2">
      <c r="A344" t="s">
        <v>354</v>
      </c>
      <c r="B344" t="s">
        <v>1194</v>
      </c>
      <c r="C344" t="s">
        <v>144</v>
      </c>
      <c r="D344" t="str">
        <f t="shared" si="5"/>
        <v>AHF75751.1_Sodalis_FliF</v>
      </c>
    </row>
    <row r="345" spans="1:4" x14ac:dyDescent="0.2">
      <c r="A345" t="s">
        <v>355</v>
      </c>
      <c r="B345" t="s">
        <v>1194</v>
      </c>
      <c r="C345" t="s">
        <v>982</v>
      </c>
      <c r="D345" t="str">
        <f t="shared" si="5"/>
        <v>AHF76786.1_Sodalis_T3SS</v>
      </c>
    </row>
    <row r="346" spans="1:4" x14ac:dyDescent="0.2">
      <c r="A346" t="s">
        <v>356</v>
      </c>
      <c r="B346" t="s">
        <v>1194</v>
      </c>
      <c r="C346" t="s">
        <v>982</v>
      </c>
      <c r="D346" t="str">
        <f t="shared" si="5"/>
        <v>AHF78198.1_Sodalis_T3SS</v>
      </c>
    </row>
    <row r="347" spans="1:4" x14ac:dyDescent="0.2">
      <c r="A347" t="s">
        <v>357</v>
      </c>
      <c r="B347" t="s">
        <v>1195</v>
      </c>
      <c r="C347" t="s">
        <v>144</v>
      </c>
      <c r="D347" t="str">
        <f t="shared" si="5"/>
        <v>AHK70359.1_Gluconobacter_FliF</v>
      </c>
    </row>
    <row r="348" spans="1:4" x14ac:dyDescent="0.2">
      <c r="A348" t="s">
        <v>358</v>
      </c>
      <c r="B348" t="s">
        <v>1196</v>
      </c>
      <c r="C348" t="s">
        <v>144</v>
      </c>
      <c r="D348" t="str">
        <f t="shared" si="5"/>
        <v>AHZ83763.1_Bdellovibrio_FliF</v>
      </c>
    </row>
    <row r="349" spans="1:4" x14ac:dyDescent="0.2">
      <c r="A349" t="s">
        <v>359</v>
      </c>
      <c r="B349" t="s">
        <v>1116</v>
      </c>
      <c r="C349" t="s">
        <v>14</v>
      </c>
      <c r="D349" t="str">
        <f t="shared" si="5"/>
        <v>AMW03991.1_Gemmatimonas_hypothetical</v>
      </c>
    </row>
    <row r="350" spans="1:4" x14ac:dyDescent="0.2">
      <c r="A350" t="s">
        <v>360</v>
      </c>
      <c r="B350" t="s">
        <v>1197</v>
      </c>
      <c r="C350" t="s">
        <v>144</v>
      </c>
      <c r="D350" t="str">
        <f t="shared" si="5"/>
        <v>KFD13219.1_Serratia_FliF</v>
      </c>
    </row>
    <row r="351" spans="1:4" x14ac:dyDescent="0.2">
      <c r="A351" t="s">
        <v>361</v>
      </c>
      <c r="B351" t="s">
        <v>1087</v>
      </c>
      <c r="C351" t="s">
        <v>14</v>
      </c>
      <c r="D351" t="str">
        <f t="shared" si="5"/>
        <v>AIK96528.1_Candidatus_hypothetical</v>
      </c>
    </row>
    <row r="352" spans="1:4" x14ac:dyDescent="0.2">
      <c r="A352" t="s">
        <v>362</v>
      </c>
      <c r="B352" t="s">
        <v>1165</v>
      </c>
      <c r="C352" t="s">
        <v>144</v>
      </c>
      <c r="D352" t="str">
        <f t="shared" si="5"/>
        <v>KGA70546.1_Yersinia_FliF</v>
      </c>
    </row>
    <row r="353" spans="1:4" x14ac:dyDescent="0.2">
      <c r="A353" t="s">
        <v>363</v>
      </c>
      <c r="B353" t="s">
        <v>1165</v>
      </c>
      <c r="C353" t="s">
        <v>1252</v>
      </c>
      <c r="D353" t="str">
        <f t="shared" si="5"/>
        <v>KGA70881.1_Yersinia_T3SS_YscJ_HrcJ</v>
      </c>
    </row>
    <row r="354" spans="1:4" x14ac:dyDescent="0.2">
      <c r="A354" t="s">
        <v>364</v>
      </c>
      <c r="B354" t="s">
        <v>1198</v>
      </c>
      <c r="C354" t="s">
        <v>144</v>
      </c>
      <c r="D354" t="str">
        <f t="shared" si="5"/>
        <v>AIQ89829.1_Methylobacterium_FliF</v>
      </c>
    </row>
    <row r="355" spans="1:4" x14ac:dyDescent="0.2">
      <c r="A355" t="s">
        <v>365</v>
      </c>
      <c r="B355" t="s">
        <v>1198</v>
      </c>
      <c r="C355" t="s">
        <v>144</v>
      </c>
      <c r="D355" t="str">
        <f t="shared" si="5"/>
        <v>AIQ93517.1_Methylobacterium_FliF</v>
      </c>
    </row>
    <row r="356" spans="1:4" x14ac:dyDescent="0.2">
      <c r="A356" t="s">
        <v>366</v>
      </c>
      <c r="B356" t="s">
        <v>1199</v>
      </c>
      <c r="C356" t="s">
        <v>144</v>
      </c>
      <c r="D356" t="str">
        <f t="shared" si="5"/>
        <v>KGT89716.1_Enterobacter_FliF</v>
      </c>
    </row>
    <row r="357" spans="1:4" x14ac:dyDescent="0.2">
      <c r="A357" t="s">
        <v>367</v>
      </c>
      <c r="B357" t="s">
        <v>1199</v>
      </c>
      <c r="C357" t="s">
        <v>144</v>
      </c>
      <c r="D357" t="str">
        <f t="shared" si="5"/>
        <v>KGT90628.1_Enterobacter_FliF</v>
      </c>
    </row>
    <row r="358" spans="1:4" x14ac:dyDescent="0.2">
      <c r="A358" t="s">
        <v>368</v>
      </c>
      <c r="B358" t="s">
        <v>1155</v>
      </c>
      <c r="C358" t="s">
        <v>982</v>
      </c>
      <c r="D358" t="str">
        <f t="shared" si="5"/>
        <v>KGT90338.1_Erwinia_T3SS</v>
      </c>
    </row>
    <row r="359" spans="1:4" x14ac:dyDescent="0.2">
      <c r="A359" t="s">
        <v>369</v>
      </c>
      <c r="B359" t="s">
        <v>1155</v>
      </c>
      <c r="C359" t="s">
        <v>144</v>
      </c>
      <c r="D359" t="str">
        <f t="shared" si="5"/>
        <v>KGT93339.1_Erwinia_FliF</v>
      </c>
    </row>
    <row r="360" spans="1:4" x14ac:dyDescent="0.2">
      <c r="A360" t="s">
        <v>370</v>
      </c>
      <c r="B360" t="s">
        <v>1155</v>
      </c>
      <c r="C360" t="s">
        <v>144</v>
      </c>
      <c r="D360" t="str">
        <f t="shared" si="5"/>
        <v>KGT96016.1_Erwinia_FliF</v>
      </c>
    </row>
    <row r="361" spans="1:4" x14ac:dyDescent="0.2">
      <c r="A361" t="s">
        <v>371</v>
      </c>
      <c r="B361" t="s">
        <v>1079</v>
      </c>
      <c r="C361" t="s">
        <v>144</v>
      </c>
      <c r="D361" t="str">
        <f t="shared" si="5"/>
        <v>AJH77759.1_Weizmannia_FliF</v>
      </c>
    </row>
    <row r="362" spans="1:4" x14ac:dyDescent="0.2">
      <c r="A362" t="s">
        <v>372</v>
      </c>
      <c r="B362" t="s">
        <v>1165</v>
      </c>
      <c r="C362" t="s">
        <v>1252</v>
      </c>
      <c r="D362" t="str">
        <f t="shared" si="5"/>
        <v>AJJ53162.1_Yersinia_T3SS_YscJ_HrcJ</v>
      </c>
    </row>
    <row r="363" spans="1:4" x14ac:dyDescent="0.2">
      <c r="A363" t="s">
        <v>373</v>
      </c>
      <c r="B363" t="s">
        <v>1165</v>
      </c>
      <c r="C363" t="s">
        <v>144</v>
      </c>
      <c r="D363" t="str">
        <f t="shared" si="5"/>
        <v>AJJ55407.1_Yersinia_FliF</v>
      </c>
    </row>
    <row r="364" spans="1:4" x14ac:dyDescent="0.2">
      <c r="A364" t="s">
        <v>374</v>
      </c>
      <c r="B364" t="s">
        <v>1165</v>
      </c>
      <c r="C364" t="s">
        <v>144</v>
      </c>
      <c r="D364" t="str">
        <f t="shared" si="5"/>
        <v>AJJ56339.1_Yersinia_FliF</v>
      </c>
    </row>
    <row r="365" spans="1:4" x14ac:dyDescent="0.2">
      <c r="A365" t="s">
        <v>375</v>
      </c>
      <c r="B365" t="s">
        <v>1165</v>
      </c>
      <c r="C365" t="s">
        <v>1252</v>
      </c>
      <c r="D365" t="str">
        <f t="shared" si="5"/>
        <v>AJJ56869.1_Yersinia_T3SS_YscJ_HrcJ</v>
      </c>
    </row>
    <row r="366" spans="1:4" x14ac:dyDescent="0.2">
      <c r="A366" t="s">
        <v>376</v>
      </c>
      <c r="B366" t="s">
        <v>1200</v>
      </c>
      <c r="C366" t="s">
        <v>144</v>
      </c>
      <c r="D366" t="str">
        <f t="shared" si="5"/>
        <v>KIU35189.1_Atlantibacter_FliF</v>
      </c>
    </row>
    <row r="367" spans="1:4" x14ac:dyDescent="0.2">
      <c r="A367" t="s">
        <v>377</v>
      </c>
      <c r="B367" t="s">
        <v>1199</v>
      </c>
      <c r="C367" t="s">
        <v>144</v>
      </c>
      <c r="D367" t="str">
        <f t="shared" si="5"/>
        <v>KLP54135.1_Enterobacter_FliF</v>
      </c>
    </row>
    <row r="368" spans="1:4" x14ac:dyDescent="0.2">
      <c r="A368" t="s">
        <v>378</v>
      </c>
      <c r="B368" t="s">
        <v>1199</v>
      </c>
      <c r="C368" t="s">
        <v>144</v>
      </c>
      <c r="D368" t="str">
        <f t="shared" si="5"/>
        <v>KLP57552.1_Enterobacter_FliF</v>
      </c>
    </row>
    <row r="369" spans="1:4" x14ac:dyDescent="0.2">
      <c r="A369" t="s">
        <v>379</v>
      </c>
      <c r="B369" t="s">
        <v>1199</v>
      </c>
      <c r="C369" t="s">
        <v>144</v>
      </c>
      <c r="D369" t="str">
        <f t="shared" si="5"/>
        <v>KLP57631.1_Enterobacter_FliF</v>
      </c>
    </row>
    <row r="370" spans="1:4" x14ac:dyDescent="0.2">
      <c r="A370" t="s">
        <v>380</v>
      </c>
      <c r="B370" t="s">
        <v>1199</v>
      </c>
      <c r="C370" t="s">
        <v>144</v>
      </c>
      <c r="D370" t="str">
        <f t="shared" si="5"/>
        <v>KLR25735.1_Enterobacter_FliF</v>
      </c>
    </row>
    <row r="371" spans="1:4" x14ac:dyDescent="0.2">
      <c r="A371" t="s">
        <v>381</v>
      </c>
      <c r="B371" t="s">
        <v>1199</v>
      </c>
      <c r="C371" t="s">
        <v>144</v>
      </c>
      <c r="D371" t="str">
        <f t="shared" si="5"/>
        <v>KLR25813.1_Enterobacter_FliF</v>
      </c>
    </row>
    <row r="372" spans="1:4" x14ac:dyDescent="0.2">
      <c r="A372" t="s">
        <v>382</v>
      </c>
      <c r="B372" t="s">
        <v>1165</v>
      </c>
      <c r="C372" t="s">
        <v>144</v>
      </c>
      <c r="D372" t="str">
        <f t="shared" si="5"/>
        <v>CNJ95907.1_Yersinia_FliF</v>
      </c>
    </row>
    <row r="373" spans="1:4" x14ac:dyDescent="0.2">
      <c r="A373" t="s">
        <v>383</v>
      </c>
      <c r="B373" t="s">
        <v>1165</v>
      </c>
      <c r="C373" t="s">
        <v>144</v>
      </c>
      <c r="D373" t="str">
        <f t="shared" si="5"/>
        <v>CNK27696.1_Yersinia_FliF</v>
      </c>
    </row>
    <row r="374" spans="1:4" x14ac:dyDescent="0.2">
      <c r="A374" t="s">
        <v>384</v>
      </c>
      <c r="B374" t="s">
        <v>1165</v>
      </c>
      <c r="C374" t="s">
        <v>144</v>
      </c>
      <c r="D374" t="str">
        <f t="shared" si="5"/>
        <v>CNK30620.1_Yersinia_FliF</v>
      </c>
    </row>
    <row r="375" spans="1:4" x14ac:dyDescent="0.2">
      <c r="A375" t="s">
        <v>385</v>
      </c>
      <c r="B375" t="s">
        <v>1165</v>
      </c>
      <c r="C375" t="s">
        <v>982</v>
      </c>
      <c r="D375" t="str">
        <f t="shared" si="5"/>
        <v>CNK97303.1_Yersinia_T3SS</v>
      </c>
    </row>
    <row r="376" spans="1:4" x14ac:dyDescent="0.2">
      <c r="A376" t="s">
        <v>386</v>
      </c>
      <c r="B376" t="s">
        <v>1201</v>
      </c>
      <c r="C376" t="s">
        <v>144</v>
      </c>
      <c r="D376" t="str">
        <f t="shared" si="5"/>
        <v>ALA58335.1_Nitrospira_FliF</v>
      </c>
    </row>
    <row r="377" spans="1:4" x14ac:dyDescent="0.2">
      <c r="A377" t="s">
        <v>387</v>
      </c>
      <c r="B377" t="s">
        <v>1202</v>
      </c>
      <c r="C377" t="s">
        <v>144</v>
      </c>
      <c r="D377" t="str">
        <f t="shared" si="5"/>
        <v>KOQ95285.1_Pluralibacter_FliF</v>
      </c>
    </row>
    <row r="378" spans="1:4" x14ac:dyDescent="0.2">
      <c r="A378" t="s">
        <v>388</v>
      </c>
      <c r="B378" t="s">
        <v>1202</v>
      </c>
      <c r="C378" t="s">
        <v>14</v>
      </c>
      <c r="D378" t="str">
        <f t="shared" si="5"/>
        <v>KOR03871.1_Pluralibacter_hypothetical</v>
      </c>
    </row>
    <row r="379" spans="1:4" x14ac:dyDescent="0.2">
      <c r="A379" t="s">
        <v>389</v>
      </c>
      <c r="B379" t="s">
        <v>1113</v>
      </c>
      <c r="C379" t="s">
        <v>144</v>
      </c>
      <c r="D379" t="str">
        <f t="shared" si="5"/>
        <v>ALF48087.1_Campylobacter_FliF</v>
      </c>
    </row>
    <row r="380" spans="1:4" x14ac:dyDescent="0.2">
      <c r="A380" t="s">
        <v>390</v>
      </c>
      <c r="B380" t="s">
        <v>1087</v>
      </c>
      <c r="C380" t="s">
        <v>391</v>
      </c>
      <c r="D380" t="str">
        <f t="shared" si="5"/>
        <v>ALJ56903.1_Candidatus_Nodulation</v>
      </c>
    </row>
    <row r="381" spans="1:4" x14ac:dyDescent="0.2">
      <c r="A381" t="s">
        <v>392</v>
      </c>
      <c r="B381" t="s">
        <v>1165</v>
      </c>
      <c r="C381" t="s">
        <v>144</v>
      </c>
      <c r="D381" t="str">
        <f t="shared" si="5"/>
        <v>CFQ36177.1_Yersinia_FliF</v>
      </c>
    </row>
    <row r="382" spans="1:4" x14ac:dyDescent="0.2">
      <c r="A382" t="s">
        <v>393</v>
      </c>
      <c r="B382" t="s">
        <v>1165</v>
      </c>
      <c r="C382" t="s">
        <v>144</v>
      </c>
      <c r="D382" t="str">
        <f t="shared" si="5"/>
        <v>CFQ36607.1_Yersinia_FliF</v>
      </c>
    </row>
    <row r="383" spans="1:4" x14ac:dyDescent="0.2">
      <c r="A383" t="s">
        <v>394</v>
      </c>
      <c r="B383" t="s">
        <v>1165</v>
      </c>
      <c r="C383" t="s">
        <v>982</v>
      </c>
      <c r="D383" t="str">
        <f t="shared" si="5"/>
        <v>CFQ38428.1_Yersinia_T3SS</v>
      </c>
    </row>
    <row r="384" spans="1:4" x14ac:dyDescent="0.2">
      <c r="A384" t="s">
        <v>395</v>
      </c>
      <c r="B384" t="s">
        <v>1165</v>
      </c>
      <c r="C384" t="s">
        <v>144</v>
      </c>
      <c r="D384" t="str">
        <f t="shared" si="5"/>
        <v>CFQ44276.1_Yersinia_FliF</v>
      </c>
    </row>
    <row r="385" spans="1:4" x14ac:dyDescent="0.2">
      <c r="A385" t="s">
        <v>396</v>
      </c>
      <c r="B385" t="s">
        <v>1203</v>
      </c>
      <c r="C385" t="s">
        <v>144</v>
      </c>
      <c r="D385" t="str">
        <f t="shared" si="5"/>
        <v>KTS01305.1_Pantoea_FliF</v>
      </c>
    </row>
    <row r="386" spans="1:4" x14ac:dyDescent="0.2">
      <c r="A386" t="s">
        <v>397</v>
      </c>
      <c r="B386" t="s">
        <v>1203</v>
      </c>
      <c r="C386" t="s">
        <v>144</v>
      </c>
      <c r="D386" t="str">
        <f t="shared" si="5"/>
        <v>KTS01388.1_Pantoea_FliF</v>
      </c>
    </row>
    <row r="387" spans="1:4" x14ac:dyDescent="0.2">
      <c r="A387" t="s">
        <v>398</v>
      </c>
      <c r="B387" t="s">
        <v>683</v>
      </c>
      <c r="C387" t="s">
        <v>144</v>
      </c>
      <c r="D387" t="str">
        <f t="shared" ref="D387:D450" si="6">A387&amp;"_"&amp;B387&amp;"_"&amp;C387</f>
        <v>ALU37457.1_Clostridium_FliF</v>
      </c>
    </row>
    <row r="388" spans="1:4" x14ac:dyDescent="0.2">
      <c r="A388" t="s">
        <v>399</v>
      </c>
      <c r="B388" t="s">
        <v>1080</v>
      </c>
      <c r="C388" t="s">
        <v>144</v>
      </c>
      <c r="D388" t="str">
        <f t="shared" si="6"/>
        <v>BAS27497.1_Limnochorda_FliF</v>
      </c>
    </row>
    <row r="389" spans="1:4" x14ac:dyDescent="0.2">
      <c r="A389" t="s">
        <v>400</v>
      </c>
      <c r="B389" t="s">
        <v>1204</v>
      </c>
      <c r="C389" t="s">
        <v>1252</v>
      </c>
      <c r="D389" t="str">
        <f t="shared" si="6"/>
        <v>AMO79802.1_Obesumbacterium_T3SS_YscJ_HrcJ</v>
      </c>
    </row>
    <row r="390" spans="1:4" x14ac:dyDescent="0.2">
      <c r="A390" t="s">
        <v>401</v>
      </c>
      <c r="B390" t="s">
        <v>1204</v>
      </c>
      <c r="C390" t="s">
        <v>144</v>
      </c>
      <c r="D390" t="str">
        <f t="shared" si="6"/>
        <v>AMO80234.1_Obesumbacterium_FliF</v>
      </c>
    </row>
    <row r="391" spans="1:4" x14ac:dyDescent="0.2">
      <c r="A391" t="s">
        <v>402</v>
      </c>
      <c r="B391" t="s">
        <v>1204</v>
      </c>
      <c r="C391" t="s">
        <v>144</v>
      </c>
      <c r="D391" t="str">
        <f t="shared" si="6"/>
        <v>AMO83542.1_Obesumbacterium_FliF</v>
      </c>
    </row>
    <row r="392" spans="1:4" x14ac:dyDescent="0.2">
      <c r="A392" t="s">
        <v>403</v>
      </c>
      <c r="B392" t="s">
        <v>1205</v>
      </c>
      <c r="C392" t="s">
        <v>144</v>
      </c>
      <c r="D392" t="str">
        <f t="shared" si="6"/>
        <v>AOM39532.1_Xenorhabdus_FliF</v>
      </c>
    </row>
    <row r="393" spans="1:4" x14ac:dyDescent="0.2">
      <c r="A393" t="s">
        <v>404</v>
      </c>
      <c r="B393" t="s">
        <v>1206</v>
      </c>
      <c r="C393" t="s">
        <v>144</v>
      </c>
      <c r="D393" t="str">
        <f t="shared" si="6"/>
        <v>AOO64056.1_Sulfurospirillum_FliF</v>
      </c>
    </row>
    <row r="394" spans="1:4" x14ac:dyDescent="0.2">
      <c r="A394" t="s">
        <v>405</v>
      </c>
      <c r="B394" t="s">
        <v>1207</v>
      </c>
      <c r="C394" t="s">
        <v>144</v>
      </c>
      <c r="D394" t="str">
        <f t="shared" si="6"/>
        <v>AOU49298.1_Legionella_FliF</v>
      </c>
    </row>
    <row r="395" spans="1:4" x14ac:dyDescent="0.2">
      <c r="A395" t="s">
        <v>406</v>
      </c>
      <c r="B395" t="s">
        <v>1081</v>
      </c>
      <c r="C395" t="s">
        <v>144</v>
      </c>
      <c r="D395" t="str">
        <f t="shared" si="6"/>
        <v>APC07891.1_Moorella_FliF</v>
      </c>
    </row>
    <row r="396" spans="1:4" x14ac:dyDescent="0.2">
      <c r="A396" t="s">
        <v>407</v>
      </c>
      <c r="B396" t="s">
        <v>1208</v>
      </c>
      <c r="C396" t="s">
        <v>144</v>
      </c>
      <c r="D396" t="str">
        <f t="shared" si="6"/>
        <v>APW41625.1_Rhodoferax_FliF</v>
      </c>
    </row>
    <row r="397" spans="1:4" x14ac:dyDescent="0.2">
      <c r="A397" t="s">
        <v>408</v>
      </c>
      <c r="B397" t="s">
        <v>1203</v>
      </c>
      <c r="C397" t="s">
        <v>144</v>
      </c>
      <c r="D397" t="str">
        <f t="shared" si="6"/>
        <v>ORN01972.1_Pantoea_FliF</v>
      </c>
    </row>
    <row r="398" spans="1:4" x14ac:dyDescent="0.2">
      <c r="A398" t="s">
        <v>409</v>
      </c>
      <c r="B398" t="s">
        <v>1203</v>
      </c>
      <c r="C398" t="s">
        <v>144</v>
      </c>
      <c r="D398" t="str">
        <f t="shared" si="6"/>
        <v>ORN02599.1_Pantoea_FliF</v>
      </c>
    </row>
    <row r="399" spans="1:4" x14ac:dyDescent="0.2">
      <c r="A399" t="s">
        <v>410</v>
      </c>
      <c r="B399" t="s">
        <v>1209</v>
      </c>
      <c r="C399" t="s">
        <v>144</v>
      </c>
      <c r="D399" t="str">
        <f t="shared" si="6"/>
        <v>OSS41621.1_Desulfurella_FliF</v>
      </c>
    </row>
    <row r="400" spans="1:4" x14ac:dyDescent="0.2">
      <c r="A400" t="s">
        <v>411</v>
      </c>
      <c r="B400" t="s">
        <v>1210</v>
      </c>
      <c r="C400" t="s">
        <v>14</v>
      </c>
      <c r="D400" t="str">
        <f t="shared" si="6"/>
        <v>ARU40258.1_Armatimonadetes_hypothetical</v>
      </c>
    </row>
    <row r="401" spans="1:4" x14ac:dyDescent="0.2">
      <c r="A401" t="s">
        <v>412</v>
      </c>
      <c r="B401" t="s">
        <v>1211</v>
      </c>
      <c r="C401" t="s">
        <v>144</v>
      </c>
      <c r="D401" t="str">
        <f t="shared" si="6"/>
        <v>ARU98306.1_Tatumella_FliF</v>
      </c>
    </row>
    <row r="402" spans="1:4" x14ac:dyDescent="0.2">
      <c r="A402" t="s">
        <v>413</v>
      </c>
      <c r="B402" t="s">
        <v>1165</v>
      </c>
      <c r="C402" t="s">
        <v>144</v>
      </c>
      <c r="D402" t="str">
        <f t="shared" si="6"/>
        <v>OWF82533.1_Yersinia_FliF</v>
      </c>
    </row>
    <row r="403" spans="1:4" x14ac:dyDescent="0.2">
      <c r="A403" t="s">
        <v>414</v>
      </c>
      <c r="B403" t="s">
        <v>1073</v>
      </c>
      <c r="C403" t="s">
        <v>144</v>
      </c>
      <c r="D403" t="str">
        <f t="shared" si="6"/>
        <v>OWZ84225.1_Natranaerobius_FliF</v>
      </c>
    </row>
    <row r="404" spans="1:4" x14ac:dyDescent="0.2">
      <c r="A404" t="s">
        <v>415</v>
      </c>
      <c r="B404" t="s">
        <v>1199</v>
      </c>
      <c r="C404" t="s">
        <v>144</v>
      </c>
      <c r="D404" t="str">
        <f t="shared" si="6"/>
        <v>PAN71491.1_Enterobacter_FliF</v>
      </c>
    </row>
    <row r="405" spans="1:4" x14ac:dyDescent="0.2">
      <c r="A405" t="s">
        <v>416</v>
      </c>
      <c r="B405" t="s">
        <v>1212</v>
      </c>
      <c r="C405" t="s">
        <v>144</v>
      </c>
      <c r="D405" t="str">
        <f t="shared" si="6"/>
        <v>ATC63675.1_Nibricoccus_FliF</v>
      </c>
    </row>
    <row r="406" spans="1:4" x14ac:dyDescent="0.2">
      <c r="A406" t="s">
        <v>417</v>
      </c>
      <c r="B406" t="s">
        <v>1082</v>
      </c>
      <c r="C406" t="s">
        <v>144</v>
      </c>
      <c r="D406" t="str">
        <f t="shared" si="6"/>
        <v>ATO47958.1_Brevibacillus_FliF</v>
      </c>
    </row>
    <row r="407" spans="1:4" x14ac:dyDescent="0.2">
      <c r="A407" t="s">
        <v>418</v>
      </c>
      <c r="B407" t="s">
        <v>1213</v>
      </c>
      <c r="C407" t="s">
        <v>144</v>
      </c>
      <c r="D407" t="str">
        <f t="shared" si="6"/>
        <v>ATU63999.1_Rhizobacter_FliF</v>
      </c>
    </row>
    <row r="408" spans="1:4" x14ac:dyDescent="0.2">
      <c r="A408" t="s">
        <v>419</v>
      </c>
      <c r="B408" t="s">
        <v>1213</v>
      </c>
      <c r="C408" t="s">
        <v>1252</v>
      </c>
      <c r="D408" t="str">
        <f t="shared" si="6"/>
        <v>ATU65453.1_Rhizobacter_T3SS_YscJ_HrcJ</v>
      </c>
    </row>
    <row r="409" spans="1:4" x14ac:dyDescent="0.2">
      <c r="A409" t="s">
        <v>420</v>
      </c>
      <c r="B409" t="s">
        <v>1213</v>
      </c>
      <c r="C409" t="s">
        <v>144</v>
      </c>
      <c r="D409" t="str">
        <f t="shared" si="6"/>
        <v>ATU65965.1_Rhizobacter_FliF</v>
      </c>
    </row>
    <row r="410" spans="1:4" x14ac:dyDescent="0.2">
      <c r="A410" t="s">
        <v>421</v>
      </c>
      <c r="B410" t="s">
        <v>1213</v>
      </c>
      <c r="C410" t="s">
        <v>144</v>
      </c>
      <c r="D410" t="str">
        <f t="shared" si="6"/>
        <v>ATU66744.1_Rhizobacter_FliF</v>
      </c>
    </row>
    <row r="411" spans="1:4" x14ac:dyDescent="0.2">
      <c r="A411" t="s">
        <v>422</v>
      </c>
      <c r="B411" t="s">
        <v>1213</v>
      </c>
      <c r="C411" t="s">
        <v>1252</v>
      </c>
      <c r="D411" t="str">
        <f t="shared" si="6"/>
        <v>ATU68245.1_Rhizobacter_T3SS_YscJ_HrcJ</v>
      </c>
    </row>
    <row r="412" spans="1:4" x14ac:dyDescent="0.2">
      <c r="A412" t="s">
        <v>423</v>
      </c>
      <c r="B412" t="s">
        <v>1214</v>
      </c>
      <c r="C412" t="s">
        <v>144</v>
      </c>
      <c r="D412" t="str">
        <f t="shared" si="6"/>
        <v>ATX78584.1_Mariprofundus_FliF</v>
      </c>
    </row>
    <row r="413" spans="1:4" x14ac:dyDescent="0.2">
      <c r="A413" t="s">
        <v>424</v>
      </c>
      <c r="B413" t="s">
        <v>1214</v>
      </c>
      <c r="C413" t="s">
        <v>144</v>
      </c>
      <c r="D413" t="str">
        <f t="shared" si="6"/>
        <v>ATX82919.1_Mariprofundus_FliF</v>
      </c>
    </row>
    <row r="414" spans="1:4" x14ac:dyDescent="0.2">
      <c r="A414" t="s">
        <v>425</v>
      </c>
      <c r="B414" t="s">
        <v>1215</v>
      </c>
      <c r="C414" t="s">
        <v>144</v>
      </c>
      <c r="D414" t="str">
        <f t="shared" si="6"/>
        <v>POT54770.1_Citrobacter_FliF</v>
      </c>
    </row>
    <row r="415" spans="1:4" x14ac:dyDescent="0.2">
      <c r="A415" t="s">
        <v>426</v>
      </c>
      <c r="B415" t="s">
        <v>1215</v>
      </c>
      <c r="C415" t="s">
        <v>144</v>
      </c>
      <c r="D415" t="str">
        <f t="shared" si="6"/>
        <v>POT58671.1_Citrobacter_FliF</v>
      </c>
    </row>
    <row r="416" spans="1:4" x14ac:dyDescent="0.2">
      <c r="A416" t="s">
        <v>427</v>
      </c>
      <c r="B416" t="s">
        <v>1215</v>
      </c>
      <c r="C416" t="s">
        <v>144</v>
      </c>
      <c r="D416" t="str">
        <f t="shared" si="6"/>
        <v>POT59441.1_Citrobacter_FliF</v>
      </c>
    </row>
    <row r="417" spans="1:4" x14ac:dyDescent="0.2">
      <c r="A417" t="s">
        <v>428</v>
      </c>
      <c r="B417" t="s">
        <v>1215</v>
      </c>
      <c r="C417" t="s">
        <v>1252</v>
      </c>
      <c r="D417" t="str">
        <f t="shared" si="6"/>
        <v>POT59516.1_Citrobacter_T3SS_YscJ_HrcJ</v>
      </c>
    </row>
    <row r="418" spans="1:4" x14ac:dyDescent="0.2">
      <c r="A418" t="s">
        <v>429</v>
      </c>
      <c r="B418" t="s">
        <v>1105</v>
      </c>
      <c r="C418" t="s">
        <v>1252</v>
      </c>
      <c r="D418" t="str">
        <f t="shared" si="6"/>
        <v>AVM88570.1_Chlamydia_T3SS_YscJ_HrcJ</v>
      </c>
    </row>
    <row r="419" spans="1:4" x14ac:dyDescent="0.2">
      <c r="A419" t="s">
        <v>430</v>
      </c>
      <c r="B419" t="s">
        <v>1216</v>
      </c>
      <c r="C419" t="s">
        <v>144</v>
      </c>
      <c r="D419" t="str">
        <f t="shared" si="6"/>
        <v>AVQ87012.1_Plesiomonas_FliF</v>
      </c>
    </row>
    <row r="420" spans="1:4" x14ac:dyDescent="0.2">
      <c r="A420" t="s">
        <v>431</v>
      </c>
      <c r="B420" t="s">
        <v>1216</v>
      </c>
      <c r="C420" t="s">
        <v>144</v>
      </c>
      <c r="D420" t="str">
        <f t="shared" si="6"/>
        <v>AVQ87711.1_Plesiomonas_FliF</v>
      </c>
    </row>
    <row r="421" spans="1:4" x14ac:dyDescent="0.2">
      <c r="A421" t="s">
        <v>432</v>
      </c>
      <c r="B421" t="s">
        <v>1217</v>
      </c>
      <c r="C421" t="s">
        <v>14</v>
      </c>
      <c r="D421" t="str">
        <f t="shared" si="6"/>
        <v>AWV88425.1_Bradymonas_hypothetical</v>
      </c>
    </row>
    <row r="422" spans="1:4" x14ac:dyDescent="0.2">
      <c r="A422" t="s">
        <v>433</v>
      </c>
      <c r="B422" t="s">
        <v>1087</v>
      </c>
      <c r="C422" t="s">
        <v>144</v>
      </c>
      <c r="D422" t="str">
        <f t="shared" si="6"/>
        <v>RJP61224.1_Candidatus_FliF</v>
      </c>
    </row>
    <row r="423" spans="1:4" x14ac:dyDescent="0.2">
      <c r="A423" t="s">
        <v>434</v>
      </c>
      <c r="B423" t="s">
        <v>1218</v>
      </c>
      <c r="C423" t="s">
        <v>144</v>
      </c>
      <c r="D423" t="str">
        <f t="shared" si="6"/>
        <v>RPH21571.1_Buttiauxella_FliF</v>
      </c>
    </row>
    <row r="424" spans="1:4" x14ac:dyDescent="0.2">
      <c r="A424" t="s">
        <v>435</v>
      </c>
      <c r="B424" t="s">
        <v>1218</v>
      </c>
      <c r="C424" t="s">
        <v>144</v>
      </c>
      <c r="D424" t="str">
        <f t="shared" si="6"/>
        <v>RPH26529.1_Buttiauxella_FliF</v>
      </c>
    </row>
    <row r="425" spans="1:4" x14ac:dyDescent="0.2">
      <c r="A425" t="s">
        <v>436</v>
      </c>
      <c r="B425" t="s">
        <v>1218</v>
      </c>
      <c r="C425" t="s">
        <v>144</v>
      </c>
      <c r="D425" t="str">
        <f t="shared" si="6"/>
        <v>RPH29466.1_Buttiauxella_FliF</v>
      </c>
    </row>
    <row r="426" spans="1:4" x14ac:dyDescent="0.2">
      <c r="A426" t="s">
        <v>437</v>
      </c>
      <c r="B426" t="s">
        <v>1219</v>
      </c>
      <c r="C426" t="s">
        <v>144</v>
      </c>
      <c r="D426" t="str">
        <f t="shared" si="6"/>
        <v>QAR34056.1_Geovibrio_FliF</v>
      </c>
    </row>
    <row r="427" spans="1:4" x14ac:dyDescent="0.2">
      <c r="A427" t="s">
        <v>438</v>
      </c>
      <c r="B427" t="s">
        <v>1084</v>
      </c>
      <c r="C427" t="s">
        <v>144</v>
      </c>
      <c r="D427" t="str">
        <f t="shared" si="6"/>
        <v>QAT61603.1_Tissierella_FliF</v>
      </c>
    </row>
    <row r="428" spans="1:4" x14ac:dyDescent="0.2">
      <c r="A428" t="s">
        <v>439</v>
      </c>
      <c r="B428" t="s">
        <v>1220</v>
      </c>
      <c r="C428" t="s">
        <v>144</v>
      </c>
      <c r="D428" t="str">
        <f t="shared" si="6"/>
        <v>RYJ12351.1_Rahnella_FliF</v>
      </c>
    </row>
    <row r="429" spans="1:4" x14ac:dyDescent="0.2">
      <c r="A429" t="s">
        <v>440</v>
      </c>
      <c r="B429" t="s">
        <v>1220</v>
      </c>
      <c r="C429" t="s">
        <v>144</v>
      </c>
      <c r="D429" t="str">
        <f t="shared" si="6"/>
        <v>RYJ18890.1_Rahnella_FliF</v>
      </c>
    </row>
    <row r="430" spans="1:4" x14ac:dyDescent="0.2">
      <c r="A430" t="s">
        <v>441</v>
      </c>
      <c r="B430" t="s">
        <v>1221</v>
      </c>
      <c r="C430" t="s">
        <v>144</v>
      </c>
      <c r="D430" t="str">
        <f t="shared" si="6"/>
        <v>TCV95562.1_Biostraticola_FliF</v>
      </c>
    </row>
    <row r="431" spans="1:4" x14ac:dyDescent="0.2">
      <c r="A431" t="s">
        <v>442</v>
      </c>
      <c r="B431" t="s">
        <v>1221</v>
      </c>
      <c r="C431" t="s">
        <v>982</v>
      </c>
      <c r="D431" t="str">
        <f t="shared" si="6"/>
        <v>TCV96683.1_Biostraticola_T3SS</v>
      </c>
    </row>
    <row r="432" spans="1:4" x14ac:dyDescent="0.2">
      <c r="A432" t="s">
        <v>443</v>
      </c>
      <c r="B432" t="s">
        <v>1203</v>
      </c>
      <c r="C432" t="s">
        <v>144</v>
      </c>
      <c r="D432" t="str">
        <f t="shared" si="6"/>
        <v>TCZ23478.1_Pantoea_FliF</v>
      </c>
    </row>
    <row r="433" spans="1:4" x14ac:dyDescent="0.2">
      <c r="A433" t="s">
        <v>444</v>
      </c>
      <c r="B433" t="s">
        <v>1203</v>
      </c>
      <c r="C433" t="s">
        <v>144</v>
      </c>
      <c r="D433" t="str">
        <f t="shared" si="6"/>
        <v>TCZ24216.1_Pantoea_FliF</v>
      </c>
    </row>
    <row r="434" spans="1:4" x14ac:dyDescent="0.2">
      <c r="A434" t="s">
        <v>445</v>
      </c>
      <c r="B434" t="s">
        <v>1222</v>
      </c>
      <c r="C434" t="s">
        <v>144</v>
      </c>
      <c r="D434" t="str">
        <f t="shared" si="6"/>
        <v>QBZ83471.1_Hydrogenovibrio_FliF</v>
      </c>
    </row>
    <row r="435" spans="1:4" x14ac:dyDescent="0.2">
      <c r="A435" t="s">
        <v>446</v>
      </c>
      <c r="B435" t="s">
        <v>1223</v>
      </c>
      <c r="C435" t="s">
        <v>1252</v>
      </c>
      <c r="D435" t="str">
        <f t="shared" si="6"/>
        <v>QCG47620.1_Aeromonas_T3SS_YscJ_HrcJ</v>
      </c>
    </row>
    <row r="436" spans="1:4" x14ac:dyDescent="0.2">
      <c r="A436" t="s">
        <v>447</v>
      </c>
      <c r="B436" t="s">
        <v>1223</v>
      </c>
      <c r="C436" t="s">
        <v>144</v>
      </c>
      <c r="D436" t="str">
        <f t="shared" si="6"/>
        <v>QCG50116.1_Aeromonas_FliF</v>
      </c>
    </row>
    <row r="437" spans="1:4" x14ac:dyDescent="0.2">
      <c r="A437" t="s">
        <v>448</v>
      </c>
      <c r="B437" t="s">
        <v>1224</v>
      </c>
      <c r="C437" t="s">
        <v>144</v>
      </c>
      <c r="D437" t="str">
        <f t="shared" si="6"/>
        <v>QEI19385.1_Cellvibrio_FliF</v>
      </c>
    </row>
    <row r="438" spans="1:4" x14ac:dyDescent="0.2">
      <c r="A438" t="s">
        <v>449</v>
      </c>
      <c r="B438" t="s">
        <v>1225</v>
      </c>
      <c r="C438" t="s">
        <v>144</v>
      </c>
      <c r="D438" t="str">
        <f t="shared" si="6"/>
        <v>QFG03467.1_Tepidiforma_FliF</v>
      </c>
    </row>
    <row r="439" spans="1:4" x14ac:dyDescent="0.2">
      <c r="A439" t="s">
        <v>450</v>
      </c>
      <c r="B439" t="s">
        <v>1116</v>
      </c>
      <c r="C439" t="s">
        <v>144</v>
      </c>
      <c r="D439" t="str">
        <f t="shared" si="6"/>
        <v>QJR36449.1_Gemmatimonas_FliF</v>
      </c>
    </row>
    <row r="440" spans="1:4" x14ac:dyDescent="0.2">
      <c r="A440" t="s">
        <v>451</v>
      </c>
      <c r="B440" t="s">
        <v>1087</v>
      </c>
      <c r="C440" t="s">
        <v>144</v>
      </c>
      <c r="D440" t="str">
        <f t="shared" si="6"/>
        <v>QKS28391.1_Candidatus_FliF</v>
      </c>
    </row>
    <row r="441" spans="1:4" x14ac:dyDescent="0.2">
      <c r="A441" t="s">
        <v>452</v>
      </c>
      <c r="B441" t="s">
        <v>1226</v>
      </c>
      <c r="C441" t="s">
        <v>1252</v>
      </c>
      <c r="D441" t="str">
        <f t="shared" si="6"/>
        <v>QKY95006.1_Shigella_T3SS_YscJ_HrcJ</v>
      </c>
    </row>
    <row r="442" spans="1:4" x14ac:dyDescent="0.2">
      <c r="A442" t="s">
        <v>453</v>
      </c>
      <c r="B442" t="s">
        <v>1226</v>
      </c>
      <c r="C442" t="s">
        <v>144</v>
      </c>
      <c r="D442" t="str">
        <f t="shared" si="6"/>
        <v>QKY95803.1_Shigella_FliF</v>
      </c>
    </row>
    <row r="443" spans="1:4" x14ac:dyDescent="0.2">
      <c r="A443" t="s">
        <v>454</v>
      </c>
      <c r="B443" t="s">
        <v>1085</v>
      </c>
      <c r="C443" t="s">
        <v>144</v>
      </c>
      <c r="D443" t="str">
        <f t="shared" si="6"/>
        <v>QNO16415.1_Alkalicella_FliF</v>
      </c>
    </row>
    <row r="444" spans="1:4" x14ac:dyDescent="0.2">
      <c r="A444" t="s">
        <v>455</v>
      </c>
      <c r="B444" t="s">
        <v>1227</v>
      </c>
      <c r="C444" t="s">
        <v>144</v>
      </c>
      <c r="D444" t="str">
        <f t="shared" si="6"/>
        <v>QNQ09320.1_Sphingomonas_FliF</v>
      </c>
    </row>
    <row r="445" spans="1:4" x14ac:dyDescent="0.2">
      <c r="A445" t="s">
        <v>456</v>
      </c>
      <c r="B445" t="s">
        <v>1228</v>
      </c>
      <c r="C445" t="s">
        <v>144</v>
      </c>
      <c r="D445" t="str">
        <f t="shared" si="6"/>
        <v>GHD90383.1_Pseudocitrobacter_FliF</v>
      </c>
    </row>
    <row r="446" spans="1:4" x14ac:dyDescent="0.2">
      <c r="A446" t="s">
        <v>457</v>
      </c>
      <c r="B446" t="s">
        <v>1228</v>
      </c>
      <c r="C446" t="s">
        <v>144</v>
      </c>
      <c r="D446" t="str">
        <f t="shared" si="6"/>
        <v>GHD93363.1_Pseudocitrobacter_FliF</v>
      </c>
    </row>
    <row r="447" spans="1:4" x14ac:dyDescent="0.2">
      <c r="A447" t="s">
        <v>458</v>
      </c>
      <c r="B447" t="s">
        <v>1229</v>
      </c>
      <c r="C447" t="s">
        <v>144</v>
      </c>
      <c r="D447" t="str">
        <f t="shared" si="6"/>
        <v>BCB96474.1_Dissulfurispira_FliF</v>
      </c>
    </row>
    <row r="448" spans="1:4" x14ac:dyDescent="0.2">
      <c r="A448" t="s">
        <v>459</v>
      </c>
      <c r="B448" t="s">
        <v>1230</v>
      </c>
      <c r="C448" t="s">
        <v>144</v>
      </c>
      <c r="D448" t="str">
        <f t="shared" si="6"/>
        <v>QOY88876.1_Paludibaculum_FliF</v>
      </c>
    </row>
    <row r="449" spans="1:4" x14ac:dyDescent="0.2">
      <c r="A449" t="s">
        <v>460</v>
      </c>
      <c r="B449" t="s">
        <v>1230</v>
      </c>
      <c r="C449" t="s">
        <v>144</v>
      </c>
      <c r="D449" t="str">
        <f t="shared" si="6"/>
        <v>QOY89262.1_Paludibaculum_FliF</v>
      </c>
    </row>
    <row r="450" spans="1:4" x14ac:dyDescent="0.2">
      <c r="A450" t="s">
        <v>461</v>
      </c>
      <c r="B450" t="s">
        <v>1231</v>
      </c>
      <c r="C450" t="s">
        <v>144</v>
      </c>
      <c r="D450" t="str">
        <f t="shared" si="6"/>
        <v>QQS05733.1_Fibrobacteres_FliF</v>
      </c>
    </row>
    <row r="451" spans="1:4" x14ac:dyDescent="0.2">
      <c r="A451" t="s">
        <v>462</v>
      </c>
      <c r="B451" t="s">
        <v>1232</v>
      </c>
      <c r="C451" t="s">
        <v>1056</v>
      </c>
      <c r="D451" t="str">
        <f t="shared" ref="D451:D514" si="7">A451&amp;"_"&amp;B451&amp;"_"&amp;C451</f>
        <v>QTD51128.1_Sulfidibacter_T3SS_SctJ</v>
      </c>
    </row>
    <row r="452" spans="1:4" x14ac:dyDescent="0.2">
      <c r="A452" t="s">
        <v>463</v>
      </c>
      <c r="B452" t="s">
        <v>1233</v>
      </c>
      <c r="C452" t="s">
        <v>14</v>
      </c>
      <c r="D452" t="str">
        <f t="shared" si="7"/>
        <v>QUV80670.1_Chloracidobacterium_hypothetical</v>
      </c>
    </row>
    <row r="453" spans="1:4" x14ac:dyDescent="0.2">
      <c r="A453" t="s">
        <v>464</v>
      </c>
      <c r="B453" t="s">
        <v>1129</v>
      </c>
      <c r="C453" t="s">
        <v>144</v>
      </c>
      <c r="D453" t="str">
        <f t="shared" si="7"/>
        <v>MBU2985848.1_Saccharophagus_FliF</v>
      </c>
    </row>
    <row r="454" spans="1:4" x14ac:dyDescent="0.2">
      <c r="A454" t="s">
        <v>465</v>
      </c>
      <c r="B454" t="s">
        <v>1234</v>
      </c>
      <c r="C454" t="s">
        <v>144</v>
      </c>
      <c r="D454" t="str">
        <f t="shared" si="7"/>
        <v>QXB11719.1_Klebsiella_FliF</v>
      </c>
    </row>
    <row r="455" spans="1:4" x14ac:dyDescent="0.2">
      <c r="A455" t="s">
        <v>466</v>
      </c>
      <c r="B455" t="s">
        <v>1235</v>
      </c>
      <c r="C455" t="s">
        <v>144</v>
      </c>
      <c r="D455" t="str">
        <f t="shared" si="7"/>
        <v>UBQ04382.1_Tepidimonas_FliF</v>
      </c>
    </row>
    <row r="456" spans="1:4" x14ac:dyDescent="0.2">
      <c r="A456" t="s">
        <v>467</v>
      </c>
      <c r="B456" t="s">
        <v>1086</v>
      </c>
      <c r="C456" t="s">
        <v>144</v>
      </c>
      <c r="D456" t="str">
        <f t="shared" si="7"/>
        <v>UMZ73356.1_Natranaerofaba_FliF</v>
      </c>
    </row>
    <row r="457" spans="1:4" x14ac:dyDescent="0.2">
      <c r="A457" t="s">
        <v>468</v>
      </c>
      <c r="B457" t="s">
        <v>1087</v>
      </c>
      <c r="C457" t="s">
        <v>144</v>
      </c>
      <c r="D457" t="str">
        <f t="shared" si="7"/>
        <v>UNC91743.1_Candidatus_FliF</v>
      </c>
    </row>
    <row r="458" spans="1:4" x14ac:dyDescent="0.2">
      <c r="A458" t="s">
        <v>469</v>
      </c>
      <c r="B458" t="s">
        <v>1136</v>
      </c>
      <c r="C458" t="s">
        <v>144</v>
      </c>
      <c r="D458" t="str">
        <f t="shared" si="7"/>
        <v>UXK10552.1_Shewanella_FliF</v>
      </c>
    </row>
    <row r="459" spans="1:4" x14ac:dyDescent="0.2">
      <c r="A459" t="s">
        <v>470</v>
      </c>
      <c r="B459" t="s">
        <v>1236</v>
      </c>
      <c r="C459" t="s">
        <v>144</v>
      </c>
      <c r="D459" t="str">
        <f t="shared" si="7"/>
        <v>SHK75940.1_Desulfatibacillum_FliF</v>
      </c>
    </row>
    <row r="460" spans="1:4" x14ac:dyDescent="0.2">
      <c r="A460" t="s">
        <v>471</v>
      </c>
      <c r="B460" t="s">
        <v>1089</v>
      </c>
      <c r="C460" t="s">
        <v>144</v>
      </c>
      <c r="D460" t="str">
        <f t="shared" si="7"/>
        <v>SHJ59096.1_Anaerobranca_FliF</v>
      </c>
    </row>
    <row r="461" spans="1:4" x14ac:dyDescent="0.2">
      <c r="A461" t="s">
        <v>472</v>
      </c>
      <c r="B461" t="s">
        <v>1118</v>
      </c>
      <c r="C461" t="s">
        <v>144</v>
      </c>
      <c r="D461" t="str">
        <f t="shared" si="7"/>
        <v>WP_235858067.1_Cereibacter_FliF</v>
      </c>
    </row>
    <row r="462" spans="1:4" x14ac:dyDescent="0.2">
      <c r="A462" t="s">
        <v>473</v>
      </c>
      <c r="B462" t="s">
        <v>1090</v>
      </c>
      <c r="C462" t="s">
        <v>144</v>
      </c>
      <c r="D462" t="str">
        <f t="shared" si="7"/>
        <v>WP_010167540.1_Epulopiscium_FliF</v>
      </c>
    </row>
    <row r="463" spans="1:4" x14ac:dyDescent="0.2">
      <c r="A463" t="s">
        <v>474</v>
      </c>
      <c r="B463" t="s">
        <v>1090</v>
      </c>
      <c r="C463" t="s">
        <v>144</v>
      </c>
      <c r="D463" t="str">
        <f t="shared" si="7"/>
        <v>WP_010167646.1_Epulopiscium_FliF</v>
      </c>
    </row>
    <row r="464" spans="1:4" x14ac:dyDescent="0.2">
      <c r="A464" t="s">
        <v>475</v>
      </c>
      <c r="B464" t="s">
        <v>1237</v>
      </c>
      <c r="C464" t="s">
        <v>1056</v>
      </c>
      <c r="D464" t="str">
        <f t="shared" si="7"/>
        <v>WP_015870333.1_Edwardsiella_T3SS_SctJ</v>
      </c>
    </row>
    <row r="465" spans="1:4" x14ac:dyDescent="0.2">
      <c r="A465" t="s">
        <v>476</v>
      </c>
      <c r="B465" t="s">
        <v>1237</v>
      </c>
      <c r="C465" t="s">
        <v>144</v>
      </c>
      <c r="D465" t="str">
        <f t="shared" si="7"/>
        <v>WP_015871707.1_Edwardsiella_FliF</v>
      </c>
    </row>
    <row r="466" spans="1:4" x14ac:dyDescent="0.2">
      <c r="A466" t="s">
        <v>477</v>
      </c>
      <c r="B466" t="s">
        <v>1238</v>
      </c>
      <c r="C466" t="s">
        <v>144</v>
      </c>
      <c r="D466" t="str">
        <f t="shared" si="7"/>
        <v>WP_011366492.1_Oleidesulfovibrio_FliF</v>
      </c>
    </row>
    <row r="467" spans="1:4" x14ac:dyDescent="0.2">
      <c r="A467" t="s">
        <v>478</v>
      </c>
      <c r="B467" t="s">
        <v>1068</v>
      </c>
      <c r="C467" t="s">
        <v>144</v>
      </c>
      <c r="D467" t="str">
        <f t="shared" si="7"/>
        <v>WP_045479451.1_Alkalihalobacillus_FliF</v>
      </c>
    </row>
    <row r="468" spans="1:4" x14ac:dyDescent="0.2">
      <c r="A468" t="s">
        <v>479</v>
      </c>
      <c r="B468" t="s">
        <v>1216</v>
      </c>
      <c r="C468" t="s">
        <v>144</v>
      </c>
      <c r="D468" t="str">
        <f t="shared" si="7"/>
        <v>WP_084977082.1_Plesiomonas_FliF</v>
      </c>
    </row>
    <row r="469" spans="1:4" x14ac:dyDescent="0.2">
      <c r="A469" t="s">
        <v>480</v>
      </c>
      <c r="B469" t="s">
        <v>1216</v>
      </c>
      <c r="C469" t="s">
        <v>144</v>
      </c>
      <c r="D469" t="str">
        <f t="shared" si="7"/>
        <v>WP_084977171.1_Plesiomonas_FliF</v>
      </c>
    </row>
    <row r="470" spans="1:4" x14ac:dyDescent="0.2">
      <c r="A470" t="s">
        <v>531</v>
      </c>
      <c r="B470">
        <v>0</v>
      </c>
      <c r="C470" t="s">
        <v>532</v>
      </c>
      <c r="D470" t="str">
        <f t="shared" si="7"/>
        <v>PKPEBJJI_00693 hypothetical protein._0_</v>
      </c>
    </row>
    <row r="471" spans="1:4" x14ac:dyDescent="0.2">
      <c r="A471" t="s">
        <v>481</v>
      </c>
      <c r="B471" t="s">
        <v>718</v>
      </c>
      <c r="C471" t="s">
        <v>144</v>
      </c>
      <c r="D471" t="str">
        <f t="shared" si="7"/>
        <v>WP_014824491.1_Solibacillus_FliF</v>
      </c>
    </row>
    <row r="472" spans="1:4" x14ac:dyDescent="0.2">
      <c r="A472" t="s">
        <v>482</v>
      </c>
      <c r="B472" t="s">
        <v>731</v>
      </c>
      <c r="C472" t="s">
        <v>144</v>
      </c>
      <c r="D472" t="str">
        <f t="shared" si="7"/>
        <v>WP_147194154.1_Rummeliibacillus_FliF</v>
      </c>
    </row>
    <row r="473" spans="1:4" x14ac:dyDescent="0.2">
      <c r="A473" t="s">
        <v>483</v>
      </c>
      <c r="B473" t="s">
        <v>1114</v>
      </c>
      <c r="C473" t="s">
        <v>982</v>
      </c>
      <c r="D473" t="str">
        <f t="shared" si="7"/>
        <v>BAC62710.1_Vibrio_T3SS</v>
      </c>
    </row>
    <row r="474" spans="1:4" x14ac:dyDescent="0.2">
      <c r="A474" t="s">
        <v>484</v>
      </c>
      <c r="B474" t="s">
        <v>1114</v>
      </c>
      <c r="C474" t="s">
        <v>982</v>
      </c>
      <c r="D474" t="str">
        <f t="shared" si="7"/>
        <v>QEO41070.1_Vibrio_T3SS</v>
      </c>
    </row>
    <row r="475" spans="1:4" x14ac:dyDescent="0.2">
      <c r="A475" t="s">
        <v>485</v>
      </c>
      <c r="B475" t="s">
        <v>723</v>
      </c>
      <c r="C475" t="s">
        <v>144</v>
      </c>
      <c r="D475" t="str">
        <f t="shared" si="7"/>
        <v>WP_029053211.1_Sporosarcina_FliF</v>
      </c>
    </row>
    <row r="476" spans="1:4" x14ac:dyDescent="0.2">
      <c r="A476" t="s">
        <v>486</v>
      </c>
      <c r="B476" t="s">
        <v>731</v>
      </c>
      <c r="C476" t="s">
        <v>144</v>
      </c>
      <c r="D476" t="str">
        <f t="shared" si="7"/>
        <v>WP_102692667.1_Rummeliibacillus_FliF</v>
      </c>
    </row>
    <row r="477" spans="1:4" x14ac:dyDescent="0.2">
      <c r="A477" t="s">
        <v>487</v>
      </c>
      <c r="B477" t="s">
        <v>1114</v>
      </c>
      <c r="C477" t="s">
        <v>144</v>
      </c>
      <c r="D477" t="str">
        <f t="shared" si="7"/>
        <v>AAF95278.1_Vibrio_FliF</v>
      </c>
    </row>
    <row r="478" spans="1:4" x14ac:dyDescent="0.2">
      <c r="A478" t="s">
        <v>488</v>
      </c>
      <c r="B478" t="s">
        <v>1239</v>
      </c>
      <c r="C478" t="s">
        <v>144</v>
      </c>
      <c r="D478" t="str">
        <f t="shared" si="7"/>
        <v>AAS11733.1_Treponema_FliF</v>
      </c>
    </row>
    <row r="479" spans="1:4" x14ac:dyDescent="0.2">
      <c r="A479" t="s">
        <v>489</v>
      </c>
      <c r="B479" t="s">
        <v>1239</v>
      </c>
      <c r="C479" t="s">
        <v>144</v>
      </c>
      <c r="D479" t="str">
        <f t="shared" si="7"/>
        <v>AAC65387.1_Treponema_FliF</v>
      </c>
    </row>
    <row r="480" spans="1:4" x14ac:dyDescent="0.2">
      <c r="A480" t="s">
        <v>490</v>
      </c>
      <c r="B480" t="s">
        <v>1105</v>
      </c>
      <c r="C480" t="s">
        <v>144</v>
      </c>
      <c r="D480" t="str">
        <f t="shared" si="7"/>
        <v>AAC68314.1_Chlamydia_FliF</v>
      </c>
    </row>
    <row r="481" spans="1:4" x14ac:dyDescent="0.2">
      <c r="A481" t="s">
        <v>492</v>
      </c>
      <c r="B481" t="s">
        <v>1118</v>
      </c>
      <c r="C481" t="s">
        <v>144</v>
      </c>
      <c r="D481" t="str">
        <f t="shared" si="7"/>
        <v>ACM02572.1_Cereibacter_FliF</v>
      </c>
    </row>
    <row r="482" spans="1:4" x14ac:dyDescent="0.2">
      <c r="A482" t="s">
        <v>493</v>
      </c>
      <c r="B482" t="s">
        <v>1240</v>
      </c>
      <c r="C482" t="s">
        <v>144</v>
      </c>
      <c r="D482" t="str">
        <f t="shared" si="7"/>
        <v>AAW86347.1_Aliivibrio_FliF</v>
      </c>
    </row>
    <row r="483" spans="1:4" x14ac:dyDescent="0.2">
      <c r="A483" t="s">
        <v>494</v>
      </c>
      <c r="B483" t="s">
        <v>1223</v>
      </c>
      <c r="C483" t="s">
        <v>144</v>
      </c>
      <c r="D483" t="str">
        <f t="shared" si="7"/>
        <v>ABK38602.1_Aeromonas_FliF</v>
      </c>
    </row>
    <row r="484" spans="1:4" x14ac:dyDescent="0.2">
      <c r="A484" t="s">
        <v>495</v>
      </c>
      <c r="B484" t="s">
        <v>1241</v>
      </c>
      <c r="C484" t="s">
        <v>144</v>
      </c>
      <c r="D484" t="str">
        <f t="shared" si="7"/>
        <v>ACK75069.1_Borreliella_FliF</v>
      </c>
    </row>
    <row r="485" spans="1:4" x14ac:dyDescent="0.2">
      <c r="A485" t="s">
        <v>496</v>
      </c>
      <c r="B485" t="s">
        <v>1242</v>
      </c>
      <c r="C485" t="s">
        <v>144</v>
      </c>
      <c r="D485" t="str">
        <f t="shared" si="7"/>
        <v>ADE87206.1_Rhodobacter_FliF</v>
      </c>
    </row>
    <row r="486" spans="1:4" x14ac:dyDescent="0.2">
      <c r="A486" t="s">
        <v>497</v>
      </c>
      <c r="B486" t="s">
        <v>1243</v>
      </c>
      <c r="C486" t="s">
        <v>982</v>
      </c>
      <c r="D486" t="str">
        <f t="shared" si="7"/>
        <v>ADB18987.1_Pirellula_T3SS</v>
      </c>
    </row>
    <row r="487" spans="1:4" x14ac:dyDescent="0.2">
      <c r="A487" t="s">
        <v>498</v>
      </c>
      <c r="B487" t="s">
        <v>1244</v>
      </c>
      <c r="C487" t="s">
        <v>1007</v>
      </c>
      <c r="D487" t="str">
        <f t="shared" si="7"/>
        <v>ADY60058.1_Rubinisphaera_T3SS_YscJ</v>
      </c>
    </row>
    <row r="488" spans="1:4" x14ac:dyDescent="0.2">
      <c r="A488" t="s">
        <v>499</v>
      </c>
      <c r="B488" t="s">
        <v>1114</v>
      </c>
      <c r="C488" t="s">
        <v>144</v>
      </c>
      <c r="D488" t="str">
        <f t="shared" si="7"/>
        <v>EEW06433.1_Vibrio_FliF</v>
      </c>
    </row>
    <row r="489" spans="1:4" x14ac:dyDescent="0.2">
      <c r="A489" t="s">
        <v>500</v>
      </c>
      <c r="B489" t="s">
        <v>1114</v>
      </c>
      <c r="C489" t="s">
        <v>144</v>
      </c>
      <c r="D489" t="str">
        <f t="shared" si="7"/>
        <v>EDL55015.1_Vibrio_FliF</v>
      </c>
    </row>
    <row r="490" spans="1:4" x14ac:dyDescent="0.2">
      <c r="A490" t="s">
        <v>501</v>
      </c>
      <c r="B490" t="s">
        <v>1245</v>
      </c>
      <c r="C490" t="s">
        <v>144</v>
      </c>
      <c r="D490" t="str">
        <f t="shared" si="7"/>
        <v>CAD75367.1_Rhodopirellula_FliF</v>
      </c>
    </row>
    <row r="491" spans="1:4" x14ac:dyDescent="0.2">
      <c r="A491" t="s">
        <v>502</v>
      </c>
      <c r="B491" t="s">
        <v>1172</v>
      </c>
      <c r="C491" t="s">
        <v>144</v>
      </c>
      <c r="D491" t="str">
        <f t="shared" si="7"/>
        <v>CAG19334.1_Photobacterium_FliF</v>
      </c>
    </row>
    <row r="492" spans="1:4" x14ac:dyDescent="0.2">
      <c r="A492" t="s">
        <v>503</v>
      </c>
      <c r="B492" t="s">
        <v>1066</v>
      </c>
      <c r="C492" t="s">
        <v>14</v>
      </c>
      <c r="D492" t="str">
        <f t="shared" si="7"/>
        <v>BAI85247.1_Bacillus_hypothetical</v>
      </c>
    </row>
    <row r="493" spans="1:4" x14ac:dyDescent="0.2">
      <c r="A493" t="s">
        <v>504</v>
      </c>
      <c r="B493" t="s">
        <v>1066</v>
      </c>
      <c r="C493" t="s">
        <v>14</v>
      </c>
      <c r="D493" t="str">
        <f t="shared" si="7"/>
        <v>BAI85248.2_Bacillus_hypothetical</v>
      </c>
    </row>
    <row r="494" spans="1:4" x14ac:dyDescent="0.2">
      <c r="A494" t="s">
        <v>505</v>
      </c>
      <c r="B494" t="s">
        <v>1172</v>
      </c>
      <c r="C494" t="s">
        <v>144</v>
      </c>
      <c r="D494" t="str">
        <f t="shared" si="7"/>
        <v>GAA03515.1_Photobacterium_FliF</v>
      </c>
    </row>
    <row r="495" spans="1:4" x14ac:dyDescent="0.2">
      <c r="A495" t="s">
        <v>506</v>
      </c>
      <c r="B495" t="s">
        <v>1246</v>
      </c>
      <c r="C495" t="s">
        <v>144</v>
      </c>
      <c r="D495" t="str">
        <f t="shared" si="7"/>
        <v>AEM21723.1_Brachyspira_FliF</v>
      </c>
    </row>
    <row r="496" spans="1:4" x14ac:dyDescent="0.2">
      <c r="A496" t="s">
        <v>507</v>
      </c>
      <c r="B496" t="s">
        <v>1223</v>
      </c>
      <c r="C496" t="s">
        <v>144</v>
      </c>
      <c r="D496" t="str">
        <f t="shared" si="7"/>
        <v>EKB19994.1_Aeromonas_FliF</v>
      </c>
    </row>
    <row r="497" spans="1:4" x14ac:dyDescent="0.2">
      <c r="A497" t="s">
        <v>508</v>
      </c>
      <c r="B497" t="s">
        <v>1246</v>
      </c>
      <c r="C497" t="s">
        <v>144</v>
      </c>
      <c r="D497" t="str">
        <f t="shared" si="7"/>
        <v>CCG56442.1_Brachyspira_FliF</v>
      </c>
    </row>
    <row r="498" spans="1:4" x14ac:dyDescent="0.2">
      <c r="A498" t="s">
        <v>509</v>
      </c>
      <c r="B498" t="s">
        <v>1078</v>
      </c>
      <c r="C498" t="s">
        <v>14</v>
      </c>
      <c r="D498" t="str">
        <f t="shared" si="7"/>
        <v>GAK38512.1_Paenibacillus_hypothetical</v>
      </c>
    </row>
    <row r="499" spans="1:4" x14ac:dyDescent="0.2">
      <c r="A499" t="s">
        <v>510</v>
      </c>
      <c r="B499" t="s">
        <v>1223</v>
      </c>
      <c r="C499" t="s">
        <v>144</v>
      </c>
      <c r="D499" t="str">
        <f t="shared" si="7"/>
        <v>ATP10457.1_Aeromonas_FliF</v>
      </c>
    </row>
    <row r="500" spans="1:4" x14ac:dyDescent="0.2">
      <c r="A500" t="s">
        <v>511</v>
      </c>
      <c r="B500" t="s">
        <v>1105</v>
      </c>
      <c r="C500" t="s">
        <v>982</v>
      </c>
      <c r="D500" t="str">
        <f t="shared" si="7"/>
        <v>AVM87899.1_Chlamydia_T3SS</v>
      </c>
    </row>
    <row r="501" spans="1:4" x14ac:dyDescent="0.2">
      <c r="A501" t="s">
        <v>512</v>
      </c>
      <c r="B501" t="s">
        <v>1247</v>
      </c>
      <c r="C501" t="s">
        <v>144</v>
      </c>
      <c r="D501" t="str">
        <f t="shared" si="7"/>
        <v>UPH48282.1_Listeria_FliF</v>
      </c>
    </row>
    <row r="502" spans="1:4" x14ac:dyDescent="0.2">
      <c r="A502" t="s">
        <v>513</v>
      </c>
      <c r="B502" t="s">
        <v>1223</v>
      </c>
      <c r="C502" t="s">
        <v>144</v>
      </c>
      <c r="D502" t="str">
        <f t="shared" si="7"/>
        <v>QCG47664.1_Aeromonas_FliF</v>
      </c>
    </row>
    <row r="503" spans="1:4" x14ac:dyDescent="0.2">
      <c r="A503" t="s">
        <v>514</v>
      </c>
      <c r="B503" t="s">
        <v>1248</v>
      </c>
      <c r="C503" t="s">
        <v>144</v>
      </c>
      <c r="D503" t="str">
        <f t="shared" si="7"/>
        <v>QDU26973.1_Anatilimnocola_FliF</v>
      </c>
    </row>
    <row r="504" spans="1:4" x14ac:dyDescent="0.2">
      <c r="A504" t="s">
        <v>515</v>
      </c>
      <c r="B504" t="s">
        <v>1249</v>
      </c>
      <c r="C504" t="s">
        <v>144</v>
      </c>
      <c r="D504" t="str">
        <f t="shared" si="7"/>
        <v>QDU93976.1_Lignipirellula_FliF</v>
      </c>
    </row>
    <row r="505" spans="1:4" x14ac:dyDescent="0.2">
      <c r="A505" t="s">
        <v>516</v>
      </c>
      <c r="B505" t="s">
        <v>1114</v>
      </c>
      <c r="C505" t="s">
        <v>144</v>
      </c>
      <c r="D505" t="str">
        <f t="shared" si="7"/>
        <v>QEO40727.1_Vibrio_FliF</v>
      </c>
    </row>
    <row r="506" spans="1:4" x14ac:dyDescent="0.2">
      <c r="A506" t="s">
        <v>517</v>
      </c>
      <c r="B506" t="s">
        <v>1232</v>
      </c>
      <c r="C506" t="s">
        <v>144</v>
      </c>
      <c r="D506" t="str">
        <f t="shared" si="7"/>
        <v>QTD52029.1_Sulfidibacter_FliF</v>
      </c>
    </row>
    <row r="507" spans="1:4" x14ac:dyDescent="0.2">
      <c r="A507" t="s">
        <v>518</v>
      </c>
      <c r="B507" t="s">
        <v>1250</v>
      </c>
      <c r="C507" t="s">
        <v>14</v>
      </c>
      <c r="D507" t="str">
        <f t="shared" si="7"/>
        <v>SCA58853.1_Chlamydiales_hypothetical</v>
      </c>
    </row>
    <row r="508" spans="1:4" x14ac:dyDescent="0.2">
      <c r="A508" t="s">
        <v>519</v>
      </c>
      <c r="B508" t="s">
        <v>718</v>
      </c>
      <c r="C508" t="s">
        <v>520</v>
      </c>
      <c r="D508" t="str">
        <f t="shared" si="7"/>
        <v>WP_014824101.1_Solibacillus_ATPase</v>
      </c>
    </row>
    <row r="509" spans="1:4" x14ac:dyDescent="0.2">
      <c r="A509" t="s">
        <v>521</v>
      </c>
      <c r="B509" t="s">
        <v>727</v>
      </c>
      <c r="C509" t="s">
        <v>1042</v>
      </c>
      <c r="D509" t="str">
        <f t="shared" si="7"/>
        <v>WP_371830858.1_Lysinibacillus_Ion_Binding</v>
      </c>
    </row>
    <row r="510" spans="1:4" x14ac:dyDescent="0.2">
      <c r="A510" t="s">
        <v>522</v>
      </c>
      <c r="B510" t="s">
        <v>732</v>
      </c>
      <c r="C510" t="s">
        <v>520</v>
      </c>
      <c r="D510" t="str">
        <f t="shared" si="7"/>
        <v>WP_151698803.1_Psychrobacillus_ATPase</v>
      </c>
    </row>
    <row r="511" spans="1:4" x14ac:dyDescent="0.2">
      <c r="A511" t="s">
        <v>523</v>
      </c>
      <c r="B511" t="s">
        <v>1097</v>
      </c>
      <c r="C511" t="s">
        <v>520</v>
      </c>
      <c r="D511" t="str">
        <f t="shared" si="7"/>
        <v>WP_076758937.1_Edaphobacillus_ATPase</v>
      </c>
    </row>
    <row r="512" spans="1:4" x14ac:dyDescent="0.2">
      <c r="A512" t="s">
        <v>524</v>
      </c>
      <c r="B512" t="s">
        <v>1105</v>
      </c>
      <c r="C512" t="s">
        <v>1002</v>
      </c>
      <c r="D512" t="str">
        <f t="shared" si="7"/>
        <v>AAP98818.1_Chlamydia_Flagellar_MotorSwitch</v>
      </c>
    </row>
    <row r="513" spans="1:4" x14ac:dyDescent="0.2">
      <c r="A513" t="s">
        <v>525</v>
      </c>
      <c r="B513" t="s">
        <v>1251</v>
      </c>
      <c r="C513" t="s">
        <v>14</v>
      </c>
      <c r="D513" t="str">
        <f t="shared" si="7"/>
        <v>AAO82557.1_Enterococcus_hypothetical</v>
      </c>
    </row>
    <row r="514" spans="1:4" x14ac:dyDescent="0.2">
      <c r="A514" t="s">
        <v>526</v>
      </c>
      <c r="B514" t="s">
        <v>1105</v>
      </c>
      <c r="C514" t="s">
        <v>982</v>
      </c>
      <c r="D514" t="str">
        <f t="shared" si="7"/>
        <v>AGW38334.1_Chlamydia_T3SS</v>
      </c>
    </row>
    <row r="515" spans="1:4" x14ac:dyDescent="0.2">
      <c r="A515" t="s">
        <v>527</v>
      </c>
      <c r="B515" t="s">
        <v>1078</v>
      </c>
      <c r="C515" t="s">
        <v>520</v>
      </c>
      <c r="D515" t="str">
        <f t="shared" ref="D515:D518" si="8">A515&amp;"_"&amp;B515&amp;"_"&amp;C515</f>
        <v>GAK40209.1_Paenibacillus_ATPase</v>
      </c>
    </row>
    <row r="516" spans="1:4" x14ac:dyDescent="0.2">
      <c r="A516" t="s">
        <v>528</v>
      </c>
      <c r="B516" t="s">
        <v>1247</v>
      </c>
      <c r="C516" t="s">
        <v>1052</v>
      </c>
      <c r="D516" t="str">
        <f t="shared" si="8"/>
        <v>UPH47978.1_Listeria_Transcriptional_Regulator</v>
      </c>
    </row>
    <row r="517" spans="1:4" x14ac:dyDescent="0.2">
      <c r="A517" t="s">
        <v>529</v>
      </c>
      <c r="B517" t="s">
        <v>1098</v>
      </c>
      <c r="C517" t="s">
        <v>1052</v>
      </c>
      <c r="D517" t="str">
        <f t="shared" si="8"/>
        <v>QJS18567.1_Turicibacter_Transcriptional_Regulator</v>
      </c>
    </row>
    <row r="518" spans="1:4" x14ac:dyDescent="0.2">
      <c r="A518" t="s">
        <v>530</v>
      </c>
      <c r="B518" t="s">
        <v>1251</v>
      </c>
      <c r="C518" t="s">
        <v>1052</v>
      </c>
      <c r="D518" t="str">
        <f t="shared" si="8"/>
        <v>SQE55453.1_Enterococcus_Transcriptional_Regulator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2B37-37BD-1C49-A16D-E4EA874401C2}">
  <dimension ref="A1:G518"/>
  <sheetViews>
    <sheetView topLeftCell="C1" workbookViewId="0">
      <selection activeCell="F10" sqref="F10"/>
    </sheetView>
  </sheetViews>
  <sheetFormatPr baseColWidth="10" defaultRowHeight="16" x14ac:dyDescent="0.2"/>
  <cols>
    <col min="2" max="2" width="111.83203125" bestFit="1" customWidth="1"/>
    <col min="3" max="3" width="72.5" bestFit="1" customWidth="1"/>
    <col min="4" max="4" width="22.33203125" bestFit="1" customWidth="1"/>
    <col min="5" max="5" width="77.5" bestFit="1" customWidth="1"/>
    <col min="6" max="6" width="11" customWidth="1"/>
  </cols>
  <sheetData>
    <row r="1" spans="1:7" x14ac:dyDescent="0.2">
      <c r="A1" t="s">
        <v>964</v>
      </c>
      <c r="B1" t="s">
        <v>1</v>
      </c>
      <c r="C1" t="s">
        <v>1061</v>
      </c>
      <c r="D1" t="s">
        <v>1057</v>
      </c>
      <c r="E1" s="1" t="s">
        <v>965</v>
      </c>
      <c r="F1" s="1" t="s">
        <v>966</v>
      </c>
      <c r="G1" t="s">
        <v>1064</v>
      </c>
    </row>
    <row r="2" spans="1:7" x14ac:dyDescent="0.2">
      <c r="A2" t="s">
        <v>0</v>
      </c>
      <c r="B2" t="s">
        <v>533</v>
      </c>
      <c r="C2" t="s">
        <v>683</v>
      </c>
      <c r="D2" t="str" cm="1">
        <f t="array" ref="D2">_xlfn.LET(
    _xlpm.searchText, B2,
    _xlpm.matchIndex, MATCH(TRUE, INDEX(ISNUMBER(SEARCH(E:E, _xlpm.searchText)), 0), 0),
    IF(ISNA(_xlpm.matchIndex), "",
       INDEX(F:F, _xlpm.matchIndex)
    )
)</f>
        <v>SpoIIIAF</v>
      </c>
      <c r="E2" s="3" t="s">
        <v>974</v>
      </c>
      <c r="F2" s="3" t="s">
        <v>974</v>
      </c>
      <c r="G2" t="str">
        <f>IFERROR(_xlfn.TEXTBEFORE(C2, " "), C2)</f>
        <v>Clostridium</v>
      </c>
    </row>
    <row r="3" spans="1:7" x14ac:dyDescent="0.2">
      <c r="A3" t="s">
        <v>2</v>
      </c>
      <c r="B3" t="s">
        <v>534</v>
      </c>
      <c r="C3" t="s">
        <v>684</v>
      </c>
      <c r="D3" t="str" cm="1">
        <f t="array" ref="D3">_xlfn.LET(
    _xlpm.searchText, B3,
    _xlpm.matchIndex, MATCH(TRUE, INDEX(ISNUMBER(SEARCH(E:E, _xlpm.searchText)), 0), 0),
    IF(ISNA(_xlpm.matchIndex), "",
       INDEX(F:F, _xlpm.matchIndex)
    )
)</f>
        <v>SpoIIIAF</v>
      </c>
      <c r="E3" s="3" t="s">
        <v>975</v>
      </c>
      <c r="F3" s="3" t="s">
        <v>974</v>
      </c>
      <c r="G3" t="str">
        <f>IFERROR(_xlfn.TEXTBEFORE(C3, " "), C3)</f>
        <v>Alkalihalophilus</v>
      </c>
    </row>
    <row r="4" spans="1:7" x14ac:dyDescent="0.2">
      <c r="A4" t="s">
        <v>3</v>
      </c>
      <c r="B4" t="s">
        <v>534</v>
      </c>
      <c r="C4" t="s">
        <v>685</v>
      </c>
      <c r="D4" t="str" cm="1">
        <f t="array" ref="D4">_xlfn.LET(
    _xlpm.searchText, B4,
    _xlpm.matchIndex, MATCH(TRUE, INDEX(ISNUMBER(SEARCH(E:E, _xlpm.searchText)), 0), 0),
    IF(ISNA(_xlpm.matchIndex), "",
       INDEX(F:F, _xlpm.matchIndex)
    )
)</f>
        <v>SpoIIIAF</v>
      </c>
      <c r="E4" s="2" t="s">
        <v>976</v>
      </c>
      <c r="F4" s="2" t="s">
        <v>974</v>
      </c>
      <c r="G4" t="str">
        <f t="shared" ref="G4:G67" si="0">IFERROR(_xlfn.TEXTBEFORE(C4, " "), C4)</f>
        <v>Clostridium</v>
      </c>
    </row>
    <row r="5" spans="1:7" x14ac:dyDescent="0.2">
      <c r="A5" t="s">
        <v>4</v>
      </c>
      <c r="B5" t="s">
        <v>534</v>
      </c>
      <c r="C5" t="s">
        <v>686</v>
      </c>
      <c r="D5" t="str" cm="1">
        <f t="array" ref="D5">_xlfn.LET(
    _xlpm.searchText, B5,
    _xlpm.matchIndex, MATCH(TRUE, INDEX(ISNUMBER(SEARCH(E:E, _xlpm.searchText)), 0), 0),
    IF(ISNA(_xlpm.matchIndex), "",
       INDEX(F:F, _xlpm.matchIndex)
    )
)</f>
        <v>SpoIIIAF</v>
      </c>
      <c r="E5" s="3" t="s">
        <v>977</v>
      </c>
      <c r="F5" s="3" t="s">
        <v>974</v>
      </c>
      <c r="G5" t="str">
        <f t="shared" si="0"/>
        <v>Bacillus</v>
      </c>
    </row>
    <row r="6" spans="1:7" x14ac:dyDescent="0.2">
      <c r="A6" t="s">
        <v>5</v>
      </c>
      <c r="B6" t="s">
        <v>535</v>
      </c>
      <c r="C6" t="s">
        <v>687</v>
      </c>
      <c r="D6" t="str" cm="1">
        <f t="array" ref="D6">_xlfn.LET(
    _xlpm.searchText, B6,
    _xlpm.matchIndex, MATCH(TRUE, INDEX(ISNUMBER(SEARCH(E:E, _xlpm.searchText)), 0), 0),
    IF(ISNA(_xlpm.matchIndex), "",
       INDEX(F:F, _xlpm.matchIndex)
    )
)</f>
        <v>SpoIIIAF</v>
      </c>
      <c r="E6" s="2" t="s">
        <v>978</v>
      </c>
      <c r="F6" s="2" t="s">
        <v>974</v>
      </c>
      <c r="G6" t="str">
        <f t="shared" si="0"/>
        <v>Bacillus</v>
      </c>
    </row>
    <row r="7" spans="1:7" x14ac:dyDescent="0.2">
      <c r="A7" t="s">
        <v>7</v>
      </c>
      <c r="B7" t="s">
        <v>536</v>
      </c>
      <c r="C7" t="s">
        <v>688</v>
      </c>
      <c r="D7" t="str" cm="1">
        <f t="array" ref="D7">_xlfn.LET(
    _xlpm.searchText, B7,
    _xlpm.matchIndex, MATCH(TRUE, INDEX(ISNUMBER(SEARCH(E:E, _xlpm.searchText)), 0), 0),
    IF(ISNA(_xlpm.matchIndex), "",
       INDEX(F:F, _xlpm.matchIndex)
    )
)</f>
        <v>Sporulation</v>
      </c>
      <c r="E7" s="3" t="s">
        <v>1046</v>
      </c>
      <c r="F7" s="3" t="s">
        <v>1031</v>
      </c>
      <c r="G7" t="str">
        <f t="shared" si="0"/>
        <v>Bacillus</v>
      </c>
    </row>
    <row r="8" spans="1:7" x14ac:dyDescent="0.2">
      <c r="A8" t="s">
        <v>8</v>
      </c>
      <c r="B8" t="s">
        <v>534</v>
      </c>
      <c r="C8" t="s">
        <v>689</v>
      </c>
      <c r="D8" t="str" cm="1">
        <f t="array" ref="D8">_xlfn.LET(
    _xlpm.searchText, B8,
    _xlpm.matchIndex, MATCH(TRUE, INDEX(ISNUMBER(SEARCH(E:E, _xlpm.searchText)), 0), 0),
    IF(ISNA(_xlpm.matchIndex), "",
       INDEX(F:F, _xlpm.matchIndex)
    )
)</f>
        <v>SpoIIIAF</v>
      </c>
      <c r="E8" s="2" t="s">
        <v>1031</v>
      </c>
      <c r="F8" s="2" t="s">
        <v>1031</v>
      </c>
      <c r="G8" t="str">
        <f t="shared" si="0"/>
        <v>Geobacillus</v>
      </c>
    </row>
    <row r="9" spans="1:7" x14ac:dyDescent="0.2">
      <c r="A9" t="s">
        <v>9</v>
      </c>
      <c r="B9" t="s">
        <v>534</v>
      </c>
      <c r="C9" t="s">
        <v>690</v>
      </c>
      <c r="D9" t="str" cm="1">
        <f t="array" ref="D9">_xlfn.LET(
    _xlpm.searchText, B9,
    _xlpm.matchIndex, MATCH(TRUE, INDEX(ISNUMBER(SEARCH(E:E, _xlpm.searchText)), 0), 0),
    IF(ISNA(_xlpm.matchIndex), "",
       INDEX(F:F, _xlpm.matchIndex)
    )
)</f>
        <v>SpoIIIAF</v>
      </c>
      <c r="E9" s="3" t="s">
        <v>620</v>
      </c>
      <c r="F9" s="3" t="s">
        <v>1007</v>
      </c>
      <c r="G9" t="str">
        <f t="shared" si="0"/>
        <v>Alkalihalobacillus</v>
      </c>
    </row>
    <row r="10" spans="1:7" x14ac:dyDescent="0.2">
      <c r="A10" t="s">
        <v>10</v>
      </c>
      <c r="B10" t="s">
        <v>534</v>
      </c>
      <c r="C10" t="s">
        <v>691</v>
      </c>
      <c r="D10" t="str" cm="1">
        <f t="array" ref="D10">_xlfn.LET(
    _xlpm.searchText, B10,
    _xlpm.matchIndex, MATCH(TRUE, INDEX(ISNUMBER(SEARCH(E:E, _xlpm.searchText)), 0), 0),
    IF(ISNA(_xlpm.matchIndex), "",
       INDEX(F:F, _xlpm.matchIndex)
    )
)</f>
        <v>SpoIIIAF</v>
      </c>
      <c r="E10" s="2" t="s">
        <v>206</v>
      </c>
      <c r="F10" s="2" t="s">
        <v>1252</v>
      </c>
      <c r="G10" t="str">
        <f t="shared" si="0"/>
        <v>Symbiobacterium</v>
      </c>
    </row>
    <row r="11" spans="1:7" x14ac:dyDescent="0.2">
      <c r="A11" t="s">
        <v>11</v>
      </c>
      <c r="B11" t="s">
        <v>537</v>
      </c>
      <c r="C11" t="s">
        <v>692</v>
      </c>
      <c r="D11" t="str" cm="1">
        <f t="array" ref="D11">_xlfn.LET(
    _xlpm.searchText, B11,
    _xlpm.matchIndex, MATCH(TRUE, INDEX(ISNUMBER(SEARCH(E:E, _xlpm.searchText)), 0), 0),
    IF(ISNA(_xlpm.matchIndex), "",
       INDEX(F:F, _xlpm.matchIndex)
    )
)</f>
        <v>Sporulation</v>
      </c>
      <c r="E11" s="3" t="s">
        <v>1055</v>
      </c>
      <c r="F11" s="3" t="s">
        <v>1056</v>
      </c>
      <c r="G11" t="str">
        <f t="shared" si="0"/>
        <v>Halalkalibacterium</v>
      </c>
    </row>
    <row r="12" spans="1:7" x14ac:dyDescent="0.2">
      <c r="A12" t="s">
        <v>12</v>
      </c>
      <c r="B12" t="s">
        <v>538</v>
      </c>
      <c r="C12" t="s">
        <v>693</v>
      </c>
      <c r="D12" t="str" cm="1">
        <f t="array" ref="D12">_xlfn.LET(
    _xlpm.searchText, B12,
    _xlpm.matchIndex, MATCH(TRUE, INDEX(ISNUMBER(SEARCH(E:E, _xlpm.searchText)), 0), 0),
    IF(ISNA(_xlpm.matchIndex), "",
       INDEX(F:F, _xlpm.matchIndex)
    )
)</f>
        <v>SpoIIIAF</v>
      </c>
      <c r="E12" s="2" t="s">
        <v>979</v>
      </c>
      <c r="F12" s="2" t="s">
        <v>980</v>
      </c>
      <c r="G12" t="str">
        <f t="shared" si="0"/>
        <v>Oceanobacillus</v>
      </c>
    </row>
    <row r="13" spans="1:7" x14ac:dyDescent="0.2">
      <c r="A13" t="s">
        <v>13</v>
      </c>
      <c r="B13" t="s">
        <v>539</v>
      </c>
      <c r="C13" t="s">
        <v>694</v>
      </c>
      <c r="D13" t="str" cm="1">
        <f t="array" ref="D13">_xlfn.LET(
    _xlpm.searchText, B13,
    _xlpm.matchIndex, MATCH(TRUE, INDEX(ISNUMBER(SEARCH(E:E, _xlpm.searchText)), 0), 0),
    IF(ISNA(_xlpm.matchIndex), "",
       INDEX(F:F, _xlpm.matchIndex)
    )
)</f>
        <v>hypothetical</v>
      </c>
      <c r="E13" s="3" t="s">
        <v>166</v>
      </c>
      <c r="F13" s="3" t="s">
        <v>984</v>
      </c>
      <c r="G13" t="str">
        <f t="shared" si="0"/>
        <v>Thermoanaerobacter</v>
      </c>
    </row>
    <row r="14" spans="1:7" x14ac:dyDescent="0.2">
      <c r="A14" t="s">
        <v>15</v>
      </c>
      <c r="B14" t="s">
        <v>534</v>
      </c>
      <c r="C14" t="s">
        <v>695</v>
      </c>
      <c r="D14" t="str" cm="1">
        <f t="array" ref="D14">_xlfn.LET(
    _xlpm.searchText, B14,
    _xlpm.matchIndex, MATCH(TRUE, INDEX(ISNUMBER(SEARCH(E:E, _xlpm.searchText)), 0), 0),
    IF(ISNA(_xlpm.matchIndex), "",
       INDEX(F:F, _xlpm.matchIndex)
    )
)</f>
        <v>SpoIIIAF</v>
      </c>
      <c r="E14" s="2" t="s">
        <v>985</v>
      </c>
      <c r="F14" s="2" t="s">
        <v>984</v>
      </c>
      <c r="G14" t="str">
        <f t="shared" si="0"/>
        <v>Natranaerobius</v>
      </c>
    </row>
    <row r="15" spans="1:7" x14ac:dyDescent="0.2">
      <c r="A15" t="s">
        <v>16</v>
      </c>
      <c r="B15" t="s">
        <v>534</v>
      </c>
      <c r="C15" t="s">
        <v>696</v>
      </c>
      <c r="D15" t="str" cm="1">
        <f t="array" ref="D15">_xlfn.LET(
    _xlpm.searchText, B15,
    _xlpm.matchIndex, MATCH(TRUE, INDEX(ISNUMBER(SEARCH(E:E, _xlpm.searchText)), 0), 0),
    IF(ISNA(_xlpm.matchIndex), "",
       INDEX(F:F, _xlpm.matchIndex)
    )
)</f>
        <v>SpoIIIAF</v>
      </c>
      <c r="E15" s="3" t="s">
        <v>986</v>
      </c>
      <c r="F15" s="3" t="s">
        <v>987</v>
      </c>
      <c r="G15" t="str">
        <f t="shared" si="0"/>
        <v>Halothermothrix</v>
      </c>
    </row>
    <row r="16" spans="1:7" x14ac:dyDescent="0.2">
      <c r="A16" t="s">
        <v>17</v>
      </c>
      <c r="B16" t="s">
        <v>540</v>
      </c>
      <c r="C16" t="s">
        <v>697</v>
      </c>
      <c r="D16" t="str" cm="1">
        <f t="array" ref="D16">_xlfn.LET(
    _xlpm.searchText, B16,
    _xlpm.matchIndex, MATCH(TRUE, INDEX(ISNUMBER(SEARCH(E:E, _xlpm.searchText)), 0), 0),
    IF(ISNA(_xlpm.matchIndex), "",
       INDEX(F:F, _xlpm.matchIndex)
    )
)</f>
        <v>hypothetical</v>
      </c>
      <c r="E16" s="2" t="s">
        <v>988</v>
      </c>
      <c r="F16" s="2" t="s">
        <v>989</v>
      </c>
      <c r="G16" t="str">
        <f t="shared" si="0"/>
        <v>Desulfitobacterium</v>
      </c>
    </row>
    <row r="17" spans="1:7" x14ac:dyDescent="0.2">
      <c r="A17" t="s">
        <v>18</v>
      </c>
      <c r="B17" t="s">
        <v>541</v>
      </c>
      <c r="C17" t="s">
        <v>698</v>
      </c>
      <c r="D17" t="str" cm="1">
        <f t="array" ref="D17">_xlfn.LET(
    _xlpm.searchText, B17,
    _xlpm.matchIndex, MATCH(TRUE, INDEX(ISNUMBER(SEARCH(E:E, _xlpm.searchText)), 0), 0),
    IF(ISNA(_xlpm.matchIndex), "",
       INDEX(F:F, _xlpm.matchIndex)
    )
)</f>
        <v>hypothetical</v>
      </c>
      <c r="E17" s="3" t="s">
        <v>990</v>
      </c>
      <c r="F17" s="3" t="s">
        <v>991</v>
      </c>
      <c r="G17" t="str">
        <f t="shared" si="0"/>
        <v>Dethiobacter</v>
      </c>
    </row>
    <row r="18" spans="1:7" x14ac:dyDescent="0.2">
      <c r="A18" t="s">
        <v>19</v>
      </c>
      <c r="B18" t="s">
        <v>534</v>
      </c>
      <c r="C18" t="s">
        <v>699</v>
      </c>
      <c r="D18" t="str" cm="1">
        <f t="array" ref="D18">_xlfn.LET(
    _xlpm.searchText, B18,
    _xlpm.matchIndex, MATCH(TRUE, INDEX(ISNUMBER(SEARCH(E:E, _xlpm.searchText)), 0), 0),
    IF(ISNA(_xlpm.matchIndex), "",
       INDEX(F:F, _xlpm.matchIndex)
    )
)</f>
        <v>SpoIIIAF</v>
      </c>
      <c r="E18" s="2" t="s">
        <v>996</v>
      </c>
      <c r="F18" s="2" t="s">
        <v>997</v>
      </c>
      <c r="G18" t="str">
        <f t="shared" si="0"/>
        <v>Acetonema</v>
      </c>
    </row>
    <row r="19" spans="1:7" x14ac:dyDescent="0.2">
      <c r="A19" t="s">
        <v>20</v>
      </c>
      <c r="B19" t="s">
        <v>542</v>
      </c>
      <c r="C19" t="s">
        <v>700</v>
      </c>
      <c r="D19" t="str" cm="1">
        <f t="array" ref="D19">_xlfn.LET(
    _xlpm.searchText, B19,
    _xlpm.matchIndex, MATCH(TRUE, INDEX(ISNUMBER(SEARCH(E:E, _xlpm.searchText)), 0), 0),
    IF(ISNA(_xlpm.matchIndex), "",
       INDEX(F:F, _xlpm.matchIndex)
    )
)</f>
        <v>hypothetical</v>
      </c>
      <c r="E19" s="3" t="s">
        <v>1006</v>
      </c>
      <c r="F19" s="3" t="s">
        <v>1007</v>
      </c>
      <c r="G19" t="str">
        <f t="shared" si="0"/>
        <v>Paenibacillus</v>
      </c>
    </row>
    <row r="20" spans="1:7" x14ac:dyDescent="0.2">
      <c r="A20" t="s">
        <v>21</v>
      </c>
      <c r="B20" t="s">
        <v>534</v>
      </c>
      <c r="C20" t="s">
        <v>701</v>
      </c>
      <c r="D20" t="str" cm="1">
        <f t="array" ref="D20">_xlfn.LET(
    _xlpm.searchText, B20,
    _xlpm.matchIndex, MATCH(TRUE, INDEX(ISNUMBER(SEARCH(E:E, _xlpm.searchText)), 0), 0),
    IF(ISNA(_xlpm.matchIndex), "",
       INDEX(F:F, _xlpm.matchIndex)
    )
)</f>
        <v>SpoIIIAF</v>
      </c>
      <c r="E20" s="2" t="s">
        <v>1015</v>
      </c>
      <c r="F20" s="2" t="s">
        <v>1016</v>
      </c>
      <c r="G20" t="str">
        <f t="shared" si="0"/>
        <v>Weizmannia</v>
      </c>
    </row>
    <row r="21" spans="1:7" x14ac:dyDescent="0.2">
      <c r="A21" t="s">
        <v>22</v>
      </c>
      <c r="B21" t="s">
        <v>543</v>
      </c>
      <c r="C21" t="s">
        <v>702</v>
      </c>
      <c r="D21" t="str" cm="1">
        <f t="array" ref="D21">_xlfn.LET(
    _xlpm.searchText, B21,
    _xlpm.matchIndex, MATCH(TRUE, INDEX(ISNUMBER(SEARCH(E:E, _xlpm.searchText)), 0), 0),
    IF(ISNA(_xlpm.matchIndex), "",
       INDEX(F:F, _xlpm.matchIndex)
    )
)</f>
        <v>SpoIIIAF</v>
      </c>
      <c r="E21" s="3" t="s">
        <v>992</v>
      </c>
      <c r="F21" s="3" t="s">
        <v>993</v>
      </c>
      <c r="G21" t="str">
        <f t="shared" si="0"/>
        <v>Clostridium</v>
      </c>
    </row>
    <row r="22" spans="1:7" x14ac:dyDescent="0.2">
      <c r="A22" t="s">
        <v>23</v>
      </c>
      <c r="B22" t="s">
        <v>544</v>
      </c>
      <c r="C22" t="s">
        <v>703</v>
      </c>
      <c r="D22" t="str" cm="1">
        <f t="array" ref="D22">_xlfn.LET(
    _xlpm.searchText, B22,
    _xlpm.matchIndex, MATCH(TRUE, INDEX(ISNUMBER(SEARCH(E:E, _xlpm.searchText)), 0), 0),
    IF(ISNA(_xlpm.matchIndex), "",
       INDEX(F:F, _xlpm.matchIndex)
    )
)</f>
        <v>hypothetical</v>
      </c>
      <c r="E22" s="2" t="s">
        <v>1018</v>
      </c>
      <c r="F22" s="2" t="s">
        <v>1019</v>
      </c>
      <c r="G22" t="str">
        <f t="shared" si="0"/>
        <v>Limnochorda</v>
      </c>
    </row>
    <row r="23" spans="1:7" x14ac:dyDescent="0.2">
      <c r="A23" t="s">
        <v>24</v>
      </c>
      <c r="B23" t="s">
        <v>535</v>
      </c>
      <c r="C23" t="s">
        <v>704</v>
      </c>
      <c r="D23" t="str" cm="1">
        <f t="array" ref="D23">_xlfn.LET(
    _xlpm.searchText, B23,
    _xlpm.matchIndex, MATCH(TRUE, INDEX(ISNUMBER(SEARCH(E:E, _xlpm.searchText)), 0), 0),
    IF(ISNA(_xlpm.matchIndex), "",
       INDEX(F:F, _xlpm.matchIndex)
    )
)</f>
        <v>SpoIIIAF</v>
      </c>
      <c r="E23" s="3" t="s">
        <v>1020</v>
      </c>
      <c r="F23" s="3" t="s">
        <v>1019</v>
      </c>
      <c r="G23" t="str">
        <f t="shared" si="0"/>
        <v>Moorella</v>
      </c>
    </row>
    <row r="24" spans="1:7" x14ac:dyDescent="0.2">
      <c r="A24" t="s">
        <v>25</v>
      </c>
      <c r="B24" t="s">
        <v>534</v>
      </c>
      <c r="C24" t="s">
        <v>705</v>
      </c>
      <c r="D24" t="str" cm="1">
        <f t="array" ref="D24">_xlfn.LET(
    _xlpm.searchText, B24,
    _xlpm.matchIndex, MATCH(TRUE, INDEX(ISNUMBER(SEARCH(E:E, _xlpm.searchText)), 0), 0),
    IF(ISNA(_xlpm.matchIndex), "",
       INDEX(F:F, _xlpm.matchIndex)
    )
)</f>
        <v>SpoIIIAF</v>
      </c>
      <c r="E24" s="2" t="s">
        <v>1021</v>
      </c>
      <c r="F24" s="2" t="s">
        <v>1019</v>
      </c>
      <c r="G24" t="str">
        <f t="shared" si="0"/>
        <v>Natranaerobius</v>
      </c>
    </row>
    <row r="25" spans="1:7" x14ac:dyDescent="0.2">
      <c r="A25" t="s">
        <v>26</v>
      </c>
      <c r="B25" t="s">
        <v>534</v>
      </c>
      <c r="C25" t="s">
        <v>706</v>
      </c>
      <c r="D25" t="str" cm="1">
        <f t="array" ref="D25">_xlfn.LET(
    _xlpm.searchText, B25,
    _xlpm.matchIndex, MATCH(TRUE, INDEX(ISNUMBER(SEARCH(E:E, _xlpm.searchText)), 0), 0),
    IF(ISNA(_xlpm.matchIndex), "",
       INDEX(F:F, _xlpm.matchIndex)
    )
)</f>
        <v>SpoIIIAF</v>
      </c>
      <c r="E25" s="3" t="s">
        <v>985</v>
      </c>
      <c r="F25" s="3" t="s">
        <v>984</v>
      </c>
      <c r="G25" t="str">
        <f t="shared" si="0"/>
        <v>Brevibacillus</v>
      </c>
    </row>
    <row r="26" spans="1:7" x14ac:dyDescent="0.2">
      <c r="A26" t="s">
        <v>27</v>
      </c>
      <c r="B26" t="s">
        <v>534</v>
      </c>
      <c r="C26" t="s">
        <v>707</v>
      </c>
      <c r="D26" t="str" cm="1">
        <f t="array" ref="D26">_xlfn.LET(
    _xlpm.searchText, B26,
    _xlpm.matchIndex, MATCH(TRUE, INDEX(ISNUMBER(SEARCH(E:E, _xlpm.searchText)), 0), 0),
    IF(ISNA(_xlpm.matchIndex), "",
       INDEX(F:F, _xlpm.matchIndex)
    )
)</f>
        <v>SpoIIIAF</v>
      </c>
      <c r="E26" s="2" t="s">
        <v>1024</v>
      </c>
      <c r="F26" s="2" t="s">
        <v>1062</v>
      </c>
      <c r="G26" t="str">
        <f t="shared" si="0"/>
        <v>Monoglobus</v>
      </c>
    </row>
    <row r="27" spans="1:7" x14ac:dyDescent="0.2">
      <c r="A27" t="s">
        <v>28</v>
      </c>
      <c r="B27" t="s">
        <v>534</v>
      </c>
      <c r="C27" t="s">
        <v>708</v>
      </c>
      <c r="D27" t="str" cm="1">
        <f t="array" ref="D27">_xlfn.LET(
    _xlpm.searchText, B27,
    _xlpm.matchIndex, MATCH(TRUE, INDEX(ISNUMBER(SEARCH(E:E, _xlpm.searchText)), 0), 0),
    IF(ISNA(_xlpm.matchIndex), "",
       INDEX(F:F, _xlpm.matchIndex)
    )
)</f>
        <v>SpoIIIAF</v>
      </c>
      <c r="E27" s="3" t="s">
        <v>988</v>
      </c>
      <c r="F27" s="3" t="s">
        <v>989</v>
      </c>
      <c r="G27" t="str">
        <f t="shared" si="0"/>
        <v>Tissierella</v>
      </c>
    </row>
    <row r="28" spans="1:7" x14ac:dyDescent="0.2">
      <c r="A28" t="s">
        <v>29</v>
      </c>
      <c r="B28" t="s">
        <v>534</v>
      </c>
      <c r="C28" t="s">
        <v>709</v>
      </c>
      <c r="D28" t="str" cm="1">
        <f t="array" ref="D28">_xlfn.LET(
    _xlpm.searchText, B28,
    _xlpm.matchIndex, MATCH(TRUE, INDEX(ISNUMBER(SEARCH(E:E, _xlpm.searchText)), 0), 0),
    IF(ISNA(_xlpm.matchIndex), "",
       INDEX(F:F, _xlpm.matchIndex)
    )
)</f>
        <v>SpoIIIAF</v>
      </c>
      <c r="E28" s="2" t="s">
        <v>981</v>
      </c>
      <c r="F28" s="2" t="s">
        <v>982</v>
      </c>
      <c r="G28" t="str">
        <f t="shared" si="0"/>
        <v>Alkalicella</v>
      </c>
    </row>
    <row r="29" spans="1:7" x14ac:dyDescent="0.2">
      <c r="A29" t="s">
        <v>30</v>
      </c>
      <c r="B29" t="s">
        <v>545</v>
      </c>
      <c r="C29" t="s">
        <v>710</v>
      </c>
      <c r="D29" t="str" cm="1">
        <f t="array" ref="D29">_xlfn.LET(
    _xlpm.searchText, B29,
    _xlpm.matchIndex, MATCH(TRUE, INDEX(ISNUMBER(SEARCH(E:E, _xlpm.searchText)), 0), 0),
    IF(ISNA(_xlpm.matchIndex), "",
       INDEX(F:F, _xlpm.matchIndex)
    )
)</f>
        <v>SpoIIIAF</v>
      </c>
      <c r="E29" s="3" t="s">
        <v>983</v>
      </c>
      <c r="F29" s="3" t="s">
        <v>982</v>
      </c>
      <c r="G29" t="str">
        <f t="shared" si="0"/>
        <v>Natranaerofaba</v>
      </c>
    </row>
    <row r="30" spans="1:7" x14ac:dyDescent="0.2">
      <c r="A30" t="s">
        <v>31</v>
      </c>
      <c r="B30" t="s">
        <v>534</v>
      </c>
      <c r="C30" t="s">
        <v>711</v>
      </c>
      <c r="D30" t="str" cm="1">
        <f t="array" ref="D30">_xlfn.LET(
    _xlpm.searchText, B30,
    _xlpm.matchIndex, MATCH(TRUE, INDEX(ISNUMBER(SEARCH(E:E, _xlpm.searchText)), 0), 0),
    IF(ISNA(_xlpm.matchIndex), "",
       INDEX(F:F, _xlpm.matchIndex)
    )
)</f>
        <v>SpoIIIAF</v>
      </c>
      <c r="E30" s="2" t="s">
        <v>994</v>
      </c>
      <c r="F30" s="2" t="s">
        <v>995</v>
      </c>
      <c r="G30" t="str">
        <f t="shared" si="0"/>
        <v>Candidatus</v>
      </c>
    </row>
    <row r="31" spans="1:7" x14ac:dyDescent="0.2">
      <c r="A31" t="s">
        <v>32</v>
      </c>
      <c r="B31" t="s">
        <v>534</v>
      </c>
      <c r="C31" t="s">
        <v>712</v>
      </c>
      <c r="D31" t="str" cm="1">
        <f t="array" ref="D31">_xlfn.LET(
    _xlpm.searchText, B31,
    _xlpm.matchIndex, MATCH(TRUE, INDEX(ISNUMBER(SEARCH(E:E, _xlpm.searchText)), 0), 0),
    IF(ISNA(_xlpm.matchIndex), "",
       INDEX(F:F, _xlpm.matchIndex)
    )
)</f>
        <v>SpoIIIAF</v>
      </c>
      <c r="E31" s="3" t="s">
        <v>998</v>
      </c>
      <c r="F31" s="3" t="s">
        <v>995</v>
      </c>
      <c r="G31" t="str">
        <f t="shared" si="0"/>
        <v>Anaerovorax</v>
      </c>
    </row>
    <row r="32" spans="1:7" x14ac:dyDescent="0.2">
      <c r="A32" t="s">
        <v>33</v>
      </c>
      <c r="B32" t="s">
        <v>534</v>
      </c>
      <c r="C32" t="s">
        <v>713</v>
      </c>
      <c r="D32" t="str" cm="1">
        <f t="array" ref="D32">_xlfn.LET(
    _xlpm.searchText, B32,
    _xlpm.matchIndex, MATCH(TRUE, INDEX(ISNUMBER(SEARCH(E:E, _xlpm.searchText)), 0), 0),
    IF(ISNA(_xlpm.matchIndex), "",
       INDEX(F:F, _xlpm.matchIndex)
    )
)</f>
        <v>SpoIIIAF</v>
      </c>
      <c r="E32" s="2" t="s">
        <v>1023</v>
      </c>
      <c r="F32" s="2" t="s">
        <v>995</v>
      </c>
      <c r="G32" t="str">
        <f t="shared" si="0"/>
        <v>Anaerobranca</v>
      </c>
    </row>
    <row r="33" spans="1:7" x14ac:dyDescent="0.2">
      <c r="A33" t="s">
        <v>34</v>
      </c>
      <c r="B33" t="s">
        <v>534</v>
      </c>
      <c r="C33" t="s">
        <v>714</v>
      </c>
      <c r="D33" t="str" cm="1">
        <f t="array" ref="D33">_xlfn.LET(
    _xlpm.searchText, B33,
    _xlpm.matchIndex, MATCH(TRUE, INDEX(ISNUMBER(SEARCH(E:E, _xlpm.searchText)), 0), 0),
    IF(ISNA(_xlpm.matchIndex), "",
       INDEX(F:F, _xlpm.matchIndex)
    )
)</f>
        <v>SpoIIIAF</v>
      </c>
      <c r="E33" s="2" t="s">
        <v>1017</v>
      </c>
      <c r="F33" s="2" t="s">
        <v>995</v>
      </c>
      <c r="G33" t="str">
        <f t="shared" si="0"/>
        <v>Epulopiscium</v>
      </c>
    </row>
    <row r="34" spans="1:7" x14ac:dyDescent="0.2">
      <c r="A34" t="s">
        <v>35</v>
      </c>
      <c r="B34" t="s">
        <v>534</v>
      </c>
      <c r="C34" t="s">
        <v>715</v>
      </c>
      <c r="D34" t="str" cm="1">
        <f t="array" ref="D34">_xlfn.LET(
    _xlpm.searchText, B34,
    _xlpm.matchIndex, MATCH(TRUE, INDEX(ISNUMBER(SEARCH(E:E, _xlpm.searchText)), 0), 0),
    IF(ISNA(_xlpm.matchIndex), "",
       INDEX(F:F, _xlpm.matchIndex)
    )
)</f>
        <v>SpoIIIAF</v>
      </c>
      <c r="E34" s="3" t="s">
        <v>144</v>
      </c>
      <c r="F34" s="3" t="s">
        <v>144</v>
      </c>
      <c r="G34" t="str">
        <f t="shared" si="0"/>
        <v>Alkalihalobacillus</v>
      </c>
    </row>
    <row r="35" spans="1:7" x14ac:dyDescent="0.2">
      <c r="A35" t="s">
        <v>36</v>
      </c>
      <c r="B35" t="s">
        <v>546</v>
      </c>
      <c r="C35" t="s">
        <v>683</v>
      </c>
      <c r="D35" t="str" cm="1">
        <f t="array" ref="D35">_xlfn.LET(
    _xlpm.searchText, B35,
    _xlpm.matchIndex, MATCH(TRUE, INDEX(ISNUMBER(SEARCH(E:E, _xlpm.searchText)), 0), 0),
    IF(ISNA(_xlpm.matchIndex), "",
       INDEX(F:F, _xlpm.matchIndex)
    )
)</f>
        <v>SpoIIIAH</v>
      </c>
      <c r="E35" s="2" t="s">
        <v>158</v>
      </c>
      <c r="F35" s="2" t="s">
        <v>144</v>
      </c>
      <c r="G35" t="str">
        <f t="shared" si="0"/>
        <v>Clostridium</v>
      </c>
    </row>
    <row r="36" spans="1:7" x14ac:dyDescent="0.2">
      <c r="A36" t="s">
        <v>37</v>
      </c>
      <c r="B36" t="s">
        <v>547</v>
      </c>
      <c r="C36" t="s">
        <v>716</v>
      </c>
      <c r="D36" t="str" cm="1">
        <f t="array" ref="D36">_xlfn.LET(
    _xlpm.searchText, B36,
    _xlpm.matchIndex, MATCH(TRUE, INDEX(ISNUMBER(SEARCH(E:E, _xlpm.searchText)), 0), 0),
    IF(ISNA(_xlpm.matchIndex), "",
       INDEX(F:F, _xlpm.matchIndex)
    )
)</f>
        <v>hypothetical</v>
      </c>
      <c r="E36" s="3" t="s">
        <v>491</v>
      </c>
      <c r="F36" s="3" t="s">
        <v>144</v>
      </c>
      <c r="G36" t="str">
        <f t="shared" si="0"/>
        <v>Amedibacillus</v>
      </c>
    </row>
    <row r="37" spans="1:7" x14ac:dyDescent="0.2">
      <c r="A37" t="s">
        <v>38</v>
      </c>
      <c r="B37" t="s">
        <v>548</v>
      </c>
      <c r="C37" t="s">
        <v>717</v>
      </c>
      <c r="D37" t="str" cm="1">
        <f t="array" ref="D37">_xlfn.LET(
    _xlpm.searchText, B37,
    _xlpm.matchIndex, MATCH(TRUE, INDEX(ISNUMBER(SEARCH(E:E, _xlpm.searchText)), 0), 0),
    IF(ISNA(_xlpm.matchIndex), "",
       INDEX(F:F, _xlpm.matchIndex)
    )
)</f>
        <v>SpoIIIAH</v>
      </c>
      <c r="E37" s="2" t="s">
        <v>967</v>
      </c>
      <c r="F37" s="2" t="s">
        <v>144</v>
      </c>
      <c r="G37" t="str">
        <f t="shared" si="0"/>
        <v>Coprobacillus</v>
      </c>
    </row>
    <row r="38" spans="1:7" x14ac:dyDescent="0.2">
      <c r="A38" t="s">
        <v>39</v>
      </c>
      <c r="B38" t="s">
        <v>546</v>
      </c>
      <c r="C38" t="s">
        <v>718</v>
      </c>
      <c r="D38" t="str" cm="1">
        <f t="array" ref="D38">_xlfn.LET(
    _xlpm.searchText, B38,
    _xlpm.matchIndex, MATCH(TRUE, INDEX(ISNUMBER(SEARCH(E:E, _xlpm.searchText)), 0), 0),
    IF(ISNA(_xlpm.matchIndex), "",
       INDEX(F:F, _xlpm.matchIndex)
    )
)</f>
        <v>SpoIIIAH</v>
      </c>
      <c r="E38" s="3" t="s">
        <v>155</v>
      </c>
      <c r="F38" s="3" t="s">
        <v>144</v>
      </c>
      <c r="G38" t="str">
        <f t="shared" si="0"/>
        <v>Solibacillus</v>
      </c>
    </row>
    <row r="39" spans="1:7" x14ac:dyDescent="0.2">
      <c r="A39" t="s">
        <v>40</v>
      </c>
      <c r="B39" t="s">
        <v>546</v>
      </c>
      <c r="C39" t="s">
        <v>719</v>
      </c>
      <c r="D39" t="str" cm="1">
        <f t="array" ref="D39">_xlfn.LET(
    _xlpm.searchText, B39,
    _xlpm.matchIndex, MATCH(TRUE, INDEX(ISNUMBER(SEARCH(E:E, _xlpm.searchText)), 0), 0),
    IF(ISNA(_xlpm.matchIndex), "",
       INDEX(F:F, _xlpm.matchIndex)
    )
)</f>
        <v>SpoIIIAH</v>
      </c>
      <c r="E39" s="2" t="s">
        <v>968</v>
      </c>
      <c r="F39" s="2" t="s">
        <v>144</v>
      </c>
      <c r="G39" t="str">
        <f t="shared" si="0"/>
        <v>Bacteria</v>
      </c>
    </row>
    <row r="40" spans="1:7" x14ac:dyDescent="0.2">
      <c r="A40" t="s">
        <v>41</v>
      </c>
      <c r="B40" t="s">
        <v>548</v>
      </c>
      <c r="C40" t="s">
        <v>720</v>
      </c>
      <c r="D40" t="str" cm="1">
        <f t="array" ref="D40">_xlfn.LET(
    _xlpm.searchText, B40,
    _xlpm.matchIndex, MATCH(TRUE, INDEX(ISNUMBER(SEARCH(E:E, _xlpm.searchText)), 0), 0),
    IF(ISNA(_xlpm.matchIndex), "",
       INDEX(F:F, _xlpm.matchIndex)
    )
)</f>
        <v>SpoIIIAH</v>
      </c>
      <c r="E40" s="3" t="s">
        <v>1038</v>
      </c>
      <c r="F40" s="3" t="s">
        <v>1039</v>
      </c>
      <c r="G40" t="str">
        <f t="shared" si="0"/>
        <v>Bacillus</v>
      </c>
    </row>
    <row r="41" spans="1:7" x14ac:dyDescent="0.2">
      <c r="A41" t="s">
        <v>42</v>
      </c>
      <c r="B41" t="s">
        <v>548</v>
      </c>
      <c r="C41" t="s">
        <v>721</v>
      </c>
      <c r="D41" t="str" cm="1">
        <f t="array" ref="D41">_xlfn.LET(
    _xlpm.searchText, B41,
    _xlpm.matchIndex, MATCH(TRUE, INDEX(ISNUMBER(SEARCH(E:E, _xlpm.searchText)), 0), 0),
    IF(ISNA(_xlpm.matchIndex), "",
       INDEX(F:F, _xlpm.matchIndex)
    )
)</f>
        <v>SpoIIIAH</v>
      </c>
      <c r="E41" s="2" t="s">
        <v>1001</v>
      </c>
      <c r="F41" s="2" t="s">
        <v>1002</v>
      </c>
      <c r="G41" t="str">
        <f t="shared" si="0"/>
        <v>Beduini</v>
      </c>
    </row>
    <row r="42" spans="1:7" x14ac:dyDescent="0.2">
      <c r="A42" t="s">
        <v>43</v>
      </c>
      <c r="B42" t="s">
        <v>548</v>
      </c>
      <c r="C42" t="s">
        <v>722</v>
      </c>
      <c r="D42" t="str" cm="1">
        <f t="array" ref="D42">_xlfn.LET(
    _xlpm.searchText, B42,
    _xlpm.matchIndex, MATCH(TRUE, INDEX(ISNUMBER(SEARCH(E:E, _xlpm.searchText)), 0), 0),
    IF(ISNA(_xlpm.matchIndex), "",
       INDEX(F:F, _xlpm.matchIndex)
    )
)</f>
        <v>SpoIIIAH</v>
      </c>
      <c r="E42" s="3" t="s">
        <v>1035</v>
      </c>
      <c r="F42" s="3" t="s">
        <v>1029</v>
      </c>
      <c r="G42" t="str">
        <f t="shared" si="0"/>
        <v>Viridibacillus</v>
      </c>
    </row>
    <row r="43" spans="1:7" x14ac:dyDescent="0.2">
      <c r="A43" t="s">
        <v>44</v>
      </c>
      <c r="B43" t="s">
        <v>546</v>
      </c>
      <c r="C43" t="s">
        <v>723</v>
      </c>
      <c r="D43" t="str" cm="1">
        <f t="array" ref="D43">_xlfn.LET(
    _xlpm.searchText, B43,
    _xlpm.matchIndex, MATCH(TRUE, INDEX(ISNUMBER(SEARCH(E:E, _xlpm.searchText)), 0), 0),
    IF(ISNA(_xlpm.matchIndex), "",
       INDEX(F:F, _xlpm.matchIndex)
    )
)</f>
        <v>SpoIIIAH</v>
      </c>
      <c r="E43" s="2" t="s">
        <v>1028</v>
      </c>
      <c r="F43" s="2" t="s">
        <v>1029</v>
      </c>
      <c r="G43" t="str">
        <f t="shared" si="0"/>
        <v>Sporosarcina</v>
      </c>
    </row>
    <row r="44" spans="1:7" x14ac:dyDescent="0.2">
      <c r="A44" t="s">
        <v>45</v>
      </c>
      <c r="B44" t="s">
        <v>548</v>
      </c>
      <c r="C44" t="s">
        <v>724</v>
      </c>
      <c r="D44" t="str" cm="1">
        <f t="array" ref="D44">_xlfn.LET(
    _xlpm.searchText, B44,
    _xlpm.matchIndex, MATCH(TRUE, INDEX(ISNUMBER(SEARCH(E:E, _xlpm.searchText)), 0), 0),
    IF(ISNA(_xlpm.matchIndex), "",
       INDEX(F:F, _xlpm.matchIndex)
    )
)</f>
        <v>SpoIIIAH</v>
      </c>
      <c r="E44" s="3" t="s">
        <v>1030</v>
      </c>
      <c r="F44" s="3" t="s">
        <v>1029</v>
      </c>
      <c r="G44" t="str">
        <f t="shared" si="0"/>
        <v>Sporosarcina</v>
      </c>
    </row>
    <row r="45" spans="1:7" x14ac:dyDescent="0.2">
      <c r="A45" t="s">
        <v>46</v>
      </c>
      <c r="B45" t="s">
        <v>546</v>
      </c>
      <c r="C45" t="s">
        <v>725</v>
      </c>
      <c r="D45" t="str" cm="1">
        <f t="array" ref="D45">_xlfn.LET(
    _xlpm.searchText, B45,
    _xlpm.matchIndex, MATCH(TRUE, INDEX(ISNUMBER(SEARCH(E:E, _xlpm.searchText)), 0), 0),
    IF(ISNA(_xlpm.matchIndex), "",
       INDEX(F:F, _xlpm.matchIndex)
    )
)</f>
        <v>SpoIIIAH</v>
      </c>
      <c r="E45" s="2" t="s">
        <v>1032</v>
      </c>
      <c r="F45" s="2" t="s">
        <v>1029</v>
      </c>
      <c r="G45" t="str">
        <f t="shared" si="0"/>
        <v>Ureibacillus</v>
      </c>
    </row>
    <row r="46" spans="1:7" x14ac:dyDescent="0.2">
      <c r="A46" t="s">
        <v>47</v>
      </c>
      <c r="B46" t="s">
        <v>548</v>
      </c>
      <c r="C46" t="s">
        <v>726</v>
      </c>
      <c r="D46" t="str" cm="1">
        <f t="array" ref="D46">_xlfn.LET(
    _xlpm.searchText, B46,
    _xlpm.matchIndex, MATCH(TRUE, INDEX(ISNUMBER(SEARCH(E:E, _xlpm.searchText)), 0), 0),
    IF(ISNA(_xlpm.matchIndex), "",
       INDEX(F:F, _xlpm.matchIndex)
    )
)</f>
        <v>SpoIIIAH</v>
      </c>
      <c r="E46" s="3" t="s">
        <v>1033</v>
      </c>
      <c r="F46" s="3" t="s">
        <v>1029</v>
      </c>
      <c r="G46" t="str">
        <f t="shared" si="0"/>
        <v>Rummeliibacillus</v>
      </c>
    </row>
    <row r="47" spans="1:7" x14ac:dyDescent="0.2">
      <c r="A47" t="s">
        <v>48</v>
      </c>
      <c r="B47" t="s">
        <v>546</v>
      </c>
      <c r="C47" t="s">
        <v>727</v>
      </c>
      <c r="D47" t="str" cm="1">
        <f t="array" ref="D47">_xlfn.LET(
    _xlpm.searchText, B47,
    _xlpm.matchIndex, MATCH(TRUE, INDEX(ISNUMBER(SEARCH(E:E, _xlpm.searchText)), 0), 0),
    IF(ISNA(_xlpm.matchIndex), "",
       INDEX(F:F, _xlpm.matchIndex)
    )
)</f>
        <v>SpoIIIAH</v>
      </c>
      <c r="E47" s="2" t="s">
        <v>1040</v>
      </c>
      <c r="F47" s="2" t="s">
        <v>1029</v>
      </c>
      <c r="G47" t="str">
        <f t="shared" si="0"/>
        <v>Lysinibacillus</v>
      </c>
    </row>
    <row r="48" spans="1:7" x14ac:dyDescent="0.2">
      <c r="A48" t="s">
        <v>49</v>
      </c>
      <c r="B48" t="s">
        <v>546</v>
      </c>
      <c r="C48" t="s">
        <v>728</v>
      </c>
      <c r="D48" t="str" cm="1">
        <f t="array" ref="D48">_xlfn.LET(
    _xlpm.searchText, B48,
    _xlpm.matchIndex, MATCH(TRUE, INDEX(ISNUMBER(SEARCH(E:E, _xlpm.searchText)), 0), 0),
    IF(ISNA(_xlpm.matchIndex), "",
       INDEX(F:F, _xlpm.matchIndex)
    )
)</f>
        <v>SpoIIIAH</v>
      </c>
      <c r="E48" s="3" t="s">
        <v>1010</v>
      </c>
      <c r="F48" s="3" t="s">
        <v>1011</v>
      </c>
      <c r="G48" t="str">
        <f t="shared" si="0"/>
        <v>Metasolibacillus</v>
      </c>
    </row>
    <row r="49" spans="1:7" x14ac:dyDescent="0.2">
      <c r="A49" t="s">
        <v>50</v>
      </c>
      <c r="B49" t="s">
        <v>548</v>
      </c>
      <c r="C49" t="s">
        <v>729</v>
      </c>
      <c r="D49" t="str" cm="1">
        <f t="array" ref="D49">_xlfn.LET(
    _xlpm.searchText, B49,
    _xlpm.matchIndex, MATCH(TRUE, INDEX(ISNUMBER(SEARCH(E:E, _xlpm.searchText)), 0), 0),
    IF(ISNA(_xlpm.matchIndex), "",
       INDEX(F:F, _xlpm.matchIndex)
    )
)</f>
        <v>SpoIIIAH</v>
      </c>
      <c r="E49" s="2" t="s">
        <v>1022</v>
      </c>
      <c r="F49" s="2" t="s">
        <v>1011</v>
      </c>
      <c r="G49" t="str">
        <f t="shared" si="0"/>
        <v>Holdemania</v>
      </c>
    </row>
    <row r="50" spans="1:7" x14ac:dyDescent="0.2">
      <c r="A50" t="s">
        <v>51</v>
      </c>
      <c r="B50" t="s">
        <v>548</v>
      </c>
      <c r="C50" t="s">
        <v>730</v>
      </c>
      <c r="D50" t="str" cm="1">
        <f t="array" ref="D50">_xlfn.LET(
    _xlpm.searchText, B50,
    _xlpm.matchIndex, MATCH(TRUE, INDEX(ISNUMBER(SEARCH(E:E, _xlpm.searchText)), 0), 0),
    IF(ISNA(_xlpm.matchIndex), "",
       INDEX(F:F, _xlpm.matchIndex)
    )
)</f>
        <v>SpoIIIAH</v>
      </c>
      <c r="E50" s="3" t="s">
        <v>1025</v>
      </c>
      <c r="F50" s="3" t="s">
        <v>1011</v>
      </c>
      <c r="G50" t="str">
        <f t="shared" si="0"/>
        <v>Paenisporosarcina</v>
      </c>
    </row>
    <row r="51" spans="1:7" x14ac:dyDescent="0.2">
      <c r="A51" t="s">
        <v>52</v>
      </c>
      <c r="B51" t="s">
        <v>546</v>
      </c>
      <c r="C51" t="s">
        <v>731</v>
      </c>
      <c r="D51" t="str" cm="1">
        <f t="array" ref="D51">_xlfn.LET(
    _xlpm.searchText, B51,
    _xlpm.matchIndex, MATCH(TRUE, INDEX(ISNUMBER(SEARCH(E:E, _xlpm.searchText)), 0), 0),
    IF(ISNA(_xlpm.matchIndex), "",
       INDEX(F:F, _xlpm.matchIndex)
    )
)</f>
        <v>SpoIIIAH</v>
      </c>
      <c r="E51" s="2" t="s">
        <v>1026</v>
      </c>
      <c r="F51" s="2" t="s">
        <v>1011</v>
      </c>
      <c r="G51" t="str">
        <f t="shared" si="0"/>
        <v>Rummeliibacillus</v>
      </c>
    </row>
    <row r="52" spans="1:7" x14ac:dyDescent="0.2">
      <c r="A52" t="s">
        <v>53</v>
      </c>
      <c r="B52" t="s">
        <v>546</v>
      </c>
      <c r="C52" t="s">
        <v>732</v>
      </c>
      <c r="D52" t="str" cm="1">
        <f t="array" ref="D52">_xlfn.LET(
    _xlpm.searchText, B52,
    _xlpm.matchIndex, MATCH(TRUE, INDEX(ISNUMBER(SEARCH(E:E, _xlpm.searchText)), 0), 0),
    IF(ISNA(_xlpm.matchIndex), "",
       INDEX(F:F, _xlpm.matchIndex)
    )
)</f>
        <v>SpoIIIAH</v>
      </c>
      <c r="E52" s="3" t="s">
        <v>1044</v>
      </c>
      <c r="F52" s="3" t="s">
        <v>1045</v>
      </c>
      <c r="G52" t="str">
        <f t="shared" si="0"/>
        <v>Psychrobacillus</v>
      </c>
    </row>
    <row r="53" spans="1:7" x14ac:dyDescent="0.2">
      <c r="A53" t="s">
        <v>54</v>
      </c>
      <c r="B53" t="s">
        <v>548</v>
      </c>
      <c r="C53" t="s">
        <v>733</v>
      </c>
      <c r="D53" t="str" cm="1">
        <f t="array" ref="D53">_xlfn.LET(
    _xlpm.searchText, B53,
    _xlpm.matchIndex, MATCH(TRUE, INDEX(ISNUMBER(SEARCH(E:E, _xlpm.searchText)), 0), 0),
    IF(ISNA(_xlpm.matchIndex), "",
       INDEX(F:F, _xlpm.matchIndex)
    )
)</f>
        <v>SpoIIIAH</v>
      </c>
      <c r="E53" s="2" t="s">
        <v>1034</v>
      </c>
      <c r="F53" s="2" t="s">
        <v>164</v>
      </c>
      <c r="G53" t="str">
        <f t="shared" si="0"/>
        <v>Psychrobacillus</v>
      </c>
    </row>
    <row r="54" spans="1:7" x14ac:dyDescent="0.2">
      <c r="A54" t="s">
        <v>55</v>
      </c>
      <c r="B54" t="s">
        <v>546</v>
      </c>
      <c r="C54" t="s">
        <v>734</v>
      </c>
      <c r="D54" t="str" cm="1">
        <f t="array" ref="D54">_xlfn.LET(
    _xlpm.searchText, B54,
    _xlpm.matchIndex, MATCH(TRUE, INDEX(ISNUMBER(SEARCH(E:E, _xlpm.searchText)), 0), 0),
    IF(ISNA(_xlpm.matchIndex), "",
       INDEX(F:F, _xlpm.matchIndex)
    )
)</f>
        <v>SpoIIIAH</v>
      </c>
      <c r="E54" s="3" t="s">
        <v>1036</v>
      </c>
      <c r="F54" s="3" t="s">
        <v>164</v>
      </c>
      <c r="G54" t="str">
        <f t="shared" si="0"/>
        <v>Bacillota</v>
      </c>
    </row>
    <row r="55" spans="1:7" x14ac:dyDescent="0.2">
      <c r="A55" t="s">
        <v>56</v>
      </c>
      <c r="B55" t="s">
        <v>548</v>
      </c>
      <c r="C55" t="s">
        <v>735</v>
      </c>
      <c r="D55" t="str" cm="1">
        <f t="array" ref="D55">_xlfn.LET(
    _xlpm.searchText, B55,
    _xlpm.matchIndex, MATCH(TRUE, INDEX(ISNUMBER(SEARCH(E:E, _xlpm.searchText)), 0), 0),
    IF(ISNA(_xlpm.matchIndex), "",
       INDEX(F:F, _xlpm.matchIndex)
    )
)</f>
        <v>SpoIIIAH</v>
      </c>
      <c r="E55" s="2" t="s">
        <v>1037</v>
      </c>
      <c r="F55" s="2" t="s">
        <v>164</v>
      </c>
      <c r="G55" t="str">
        <f t="shared" si="0"/>
        <v>Faecalibacillus</v>
      </c>
    </row>
    <row r="56" spans="1:7" x14ac:dyDescent="0.2">
      <c r="A56" t="s">
        <v>57</v>
      </c>
      <c r="B56" t="s">
        <v>546</v>
      </c>
      <c r="C56" t="s">
        <v>736</v>
      </c>
      <c r="D56" t="str" cm="1">
        <f t="array" ref="D56">_xlfn.LET(
    _xlpm.searchText, B56,
    _xlpm.matchIndex, MATCH(TRUE, INDEX(ISNUMBER(SEARCH(E:E, _xlpm.searchText)), 0), 0),
    IF(ISNA(_xlpm.matchIndex), "",
       INDEX(F:F, _xlpm.matchIndex)
    )
)</f>
        <v>SpoIIIAH</v>
      </c>
      <c r="E56" s="3" t="s">
        <v>65</v>
      </c>
      <c r="F56" s="3" t="s">
        <v>65</v>
      </c>
      <c r="G56" t="str">
        <f t="shared" si="0"/>
        <v>Longicatena</v>
      </c>
    </row>
    <row r="57" spans="1:7" x14ac:dyDescent="0.2">
      <c r="A57" t="s">
        <v>58</v>
      </c>
      <c r="B57" t="s">
        <v>548</v>
      </c>
      <c r="C57" t="s">
        <v>737</v>
      </c>
      <c r="D57" t="str" cm="1">
        <f t="array" ref="D57">_xlfn.LET(
    _xlpm.searchText, B57,
    _xlpm.matchIndex, MATCH(TRUE, INDEX(ISNUMBER(SEARCH(E:E, _xlpm.searchText)), 0), 0),
    IF(ISNA(_xlpm.matchIndex), "",
       INDEX(F:F, _xlpm.matchIndex)
    )
)</f>
        <v>SpoIIIAH</v>
      </c>
      <c r="E57" s="2" t="s">
        <v>969</v>
      </c>
      <c r="F57" s="2" t="s">
        <v>65</v>
      </c>
      <c r="G57" t="str">
        <f t="shared" si="0"/>
        <v>Thomasclavelia</v>
      </c>
    </row>
    <row r="58" spans="1:7" x14ac:dyDescent="0.2">
      <c r="A58" t="s">
        <v>59</v>
      </c>
      <c r="B58" t="s">
        <v>548</v>
      </c>
      <c r="C58" t="s">
        <v>738</v>
      </c>
      <c r="D58" t="str" cm="1">
        <f t="array" ref="D58">_xlfn.LET(
    _xlpm.searchText, B58,
    _xlpm.matchIndex, MATCH(TRUE, INDEX(ISNUMBER(SEARCH(E:E, _xlpm.searchText)), 0), 0),
    IF(ISNA(_xlpm.matchIndex), "",
       INDEX(F:F, _xlpm.matchIndex)
    )
)</f>
        <v>SpoIIIAH</v>
      </c>
      <c r="E58" s="3" t="s">
        <v>973</v>
      </c>
      <c r="F58" s="3" t="s">
        <v>65</v>
      </c>
      <c r="G58" t="str">
        <f t="shared" si="0"/>
        <v>Bhargavaea</v>
      </c>
    </row>
    <row r="59" spans="1:7" x14ac:dyDescent="0.2">
      <c r="A59" t="s">
        <v>60</v>
      </c>
      <c r="B59" t="s">
        <v>548</v>
      </c>
      <c r="C59" t="s">
        <v>739</v>
      </c>
      <c r="D59" t="str" cm="1">
        <f t="array" ref="D59">_xlfn.LET(
    _xlpm.searchText, B59,
    _xlpm.matchIndex, MATCH(TRUE, INDEX(ISNUMBER(SEARCH(E:E, _xlpm.searchText)), 0), 0),
    IF(ISNA(_xlpm.matchIndex), "",
       INDEX(F:F, _xlpm.matchIndex)
    )
)</f>
        <v>SpoIIIAH</v>
      </c>
      <c r="E59" s="2" t="s">
        <v>969</v>
      </c>
      <c r="F59" s="2" t="s">
        <v>65</v>
      </c>
      <c r="G59" t="str">
        <f t="shared" si="0"/>
        <v>Edaphobacillus</v>
      </c>
    </row>
    <row r="60" spans="1:7" x14ac:dyDescent="0.2">
      <c r="A60" t="s">
        <v>61</v>
      </c>
      <c r="B60" t="s">
        <v>546</v>
      </c>
      <c r="C60" t="s">
        <v>740</v>
      </c>
      <c r="D60" t="str" cm="1">
        <f t="array" ref="D60">_xlfn.LET(
    _xlpm.searchText, B60,
    _xlpm.matchIndex, MATCH(TRUE, INDEX(ISNUMBER(SEARCH(E:E, _xlpm.searchText)), 0), 0),
    IF(ISNA(_xlpm.matchIndex), "",
       INDEX(F:F, _xlpm.matchIndex)
    )
)</f>
        <v>SpoIIIAH</v>
      </c>
      <c r="E60" s="3" t="s">
        <v>970</v>
      </c>
      <c r="F60" s="3" t="s">
        <v>110</v>
      </c>
      <c r="G60" t="str">
        <f t="shared" si="0"/>
        <v>Thomasclavelia</v>
      </c>
    </row>
    <row r="61" spans="1:7" x14ac:dyDescent="0.2">
      <c r="A61" t="s">
        <v>62</v>
      </c>
      <c r="B61" t="s">
        <v>537</v>
      </c>
      <c r="C61" t="s">
        <v>684</v>
      </c>
      <c r="D61" t="str" cm="1">
        <f t="array" ref="D61">_xlfn.LET(
    _xlpm.searchText, B61,
    _xlpm.matchIndex, MATCH(TRUE, INDEX(ISNUMBER(SEARCH(E:E, _xlpm.searchText)), 0), 0),
    IF(ISNA(_xlpm.matchIndex), "",
       INDEX(F:F, _xlpm.matchIndex)
    )
)</f>
        <v>Sporulation</v>
      </c>
      <c r="E61" s="2" t="s">
        <v>572</v>
      </c>
      <c r="F61" s="2" t="s">
        <v>110</v>
      </c>
      <c r="G61" t="str">
        <f t="shared" si="0"/>
        <v>Alkalihalophilus</v>
      </c>
    </row>
    <row r="62" spans="1:7" x14ac:dyDescent="0.2">
      <c r="A62" t="s">
        <v>63</v>
      </c>
      <c r="B62" t="s">
        <v>549</v>
      </c>
      <c r="C62" t="s">
        <v>686</v>
      </c>
      <c r="D62" t="str" cm="1">
        <f t="array" ref="D62">_xlfn.LET(
    _xlpm.searchText, B62,
    _xlpm.matchIndex, MATCH(TRUE, INDEX(ISNUMBER(SEARCH(E:E, _xlpm.searchText)), 0), 0),
    IF(ISNA(_xlpm.matchIndex), "",
       INDEX(F:F, _xlpm.matchIndex)
    )
)</f>
        <v>SpoIIIAH</v>
      </c>
      <c r="E62" s="3" t="s">
        <v>1048</v>
      </c>
      <c r="F62" s="3" t="s">
        <v>110</v>
      </c>
      <c r="G62" t="str">
        <f t="shared" si="0"/>
        <v>Bacillus</v>
      </c>
    </row>
    <row r="63" spans="1:7" x14ac:dyDescent="0.2">
      <c r="A63" t="s">
        <v>64</v>
      </c>
      <c r="B63" t="s">
        <v>550</v>
      </c>
      <c r="C63" t="s">
        <v>687</v>
      </c>
      <c r="D63" t="str" cm="1">
        <f t="array" ref="D63">_xlfn.LET(
    _xlpm.searchText, B63,
    _xlpm.matchIndex, MATCH(TRUE, INDEX(ISNUMBER(SEARCH(E:E, _xlpm.searchText)), 0), 0),
    IF(ISNA(_xlpm.matchIndex), "",
       INDEX(F:F, _xlpm.matchIndex)
    )
)</f>
        <v>SpoIIIAH</v>
      </c>
      <c r="E63" s="2" t="s">
        <v>110</v>
      </c>
      <c r="F63" s="2" t="s">
        <v>110</v>
      </c>
      <c r="G63" t="str">
        <f t="shared" si="0"/>
        <v>Bacillus</v>
      </c>
    </row>
    <row r="64" spans="1:7" x14ac:dyDescent="0.2">
      <c r="A64" t="s">
        <v>66</v>
      </c>
      <c r="B64" t="s">
        <v>551</v>
      </c>
      <c r="C64" t="s">
        <v>688</v>
      </c>
      <c r="D64" t="str" cm="1">
        <f t="array" ref="D64">_xlfn.LET(
    _xlpm.searchText, B64,
    _xlpm.matchIndex, MATCH(TRUE, INDEX(ISNUMBER(SEARCH(E:E, _xlpm.searchText)), 0), 0),
    IF(ISNA(_xlpm.matchIndex), "",
       INDEX(F:F, _xlpm.matchIndex)
    )
)</f>
        <v>Sporulation</v>
      </c>
      <c r="E64" s="3" t="s">
        <v>1047</v>
      </c>
      <c r="F64" s="3" t="s">
        <v>6</v>
      </c>
      <c r="G64" t="str">
        <f t="shared" si="0"/>
        <v>Bacillus</v>
      </c>
    </row>
    <row r="65" spans="1:7" x14ac:dyDescent="0.2">
      <c r="A65" t="s">
        <v>67</v>
      </c>
      <c r="B65" t="s">
        <v>549</v>
      </c>
      <c r="C65" t="s">
        <v>689</v>
      </c>
      <c r="D65" t="str" cm="1">
        <f t="array" ref="D65">_xlfn.LET(
    _xlpm.searchText, B65,
    _xlpm.matchIndex, MATCH(TRUE, INDEX(ISNUMBER(SEARCH(E:E, _xlpm.searchText)), 0), 0),
    IF(ISNA(_xlpm.matchIndex), "",
       INDEX(F:F, _xlpm.matchIndex)
    )
)</f>
        <v>SpoIIIAH</v>
      </c>
      <c r="E65" s="2" t="s">
        <v>6</v>
      </c>
      <c r="F65" s="2" t="s">
        <v>6</v>
      </c>
      <c r="G65" t="str">
        <f t="shared" si="0"/>
        <v>Geobacillus</v>
      </c>
    </row>
    <row r="66" spans="1:7" x14ac:dyDescent="0.2">
      <c r="A66" t="s">
        <v>68</v>
      </c>
      <c r="B66" t="s">
        <v>549</v>
      </c>
      <c r="C66" t="s">
        <v>690</v>
      </c>
      <c r="D66" t="str" cm="1">
        <f t="array" ref="D66">_xlfn.LET(
    _xlpm.searchText, B66,
    _xlpm.matchIndex, MATCH(TRUE, INDEX(ISNUMBER(SEARCH(E:E, _xlpm.searchText)), 0), 0),
    IF(ISNA(_xlpm.matchIndex), "",
       INDEX(F:F, _xlpm.matchIndex)
    )
)</f>
        <v>SpoIIIAH</v>
      </c>
      <c r="E66" s="3" t="s">
        <v>1049</v>
      </c>
      <c r="F66" s="3" t="s">
        <v>120</v>
      </c>
      <c r="G66" t="str">
        <f t="shared" si="0"/>
        <v>Alkalihalobacillus</v>
      </c>
    </row>
    <row r="67" spans="1:7" x14ac:dyDescent="0.2">
      <c r="A67" t="s">
        <v>69</v>
      </c>
      <c r="B67" t="s">
        <v>549</v>
      </c>
      <c r="C67" t="s">
        <v>691</v>
      </c>
      <c r="D67" t="str" cm="1">
        <f t="array" ref="D67">_xlfn.LET(
    _xlpm.searchText, B67,
    _xlpm.matchIndex, MATCH(TRUE, INDEX(ISNUMBER(SEARCH(E:E, _xlpm.searchText)), 0), 0),
    IF(ISNA(_xlpm.matchIndex), "",
       INDEX(F:F, _xlpm.matchIndex)
    )
)</f>
        <v>SpoIIIAH</v>
      </c>
      <c r="E67" s="2" t="s">
        <v>971</v>
      </c>
      <c r="F67" s="2" t="s">
        <v>120</v>
      </c>
      <c r="G67" t="str">
        <f t="shared" si="0"/>
        <v>Symbiobacterium</v>
      </c>
    </row>
    <row r="68" spans="1:7" x14ac:dyDescent="0.2">
      <c r="A68" t="s">
        <v>70</v>
      </c>
      <c r="B68" t="s">
        <v>537</v>
      </c>
      <c r="C68" t="s">
        <v>692</v>
      </c>
      <c r="D68" t="str" cm="1">
        <f t="array" ref="D68">_xlfn.LET(
    _xlpm.searchText, B68,
    _xlpm.matchIndex, MATCH(TRUE, INDEX(ISNUMBER(SEARCH(E:E, _xlpm.searchText)), 0), 0),
    IF(ISNA(_xlpm.matchIndex), "",
       INDEX(F:F, _xlpm.matchIndex)
    )
)</f>
        <v>Sporulation</v>
      </c>
      <c r="E68" s="3" t="s">
        <v>972</v>
      </c>
      <c r="F68" s="3" t="s">
        <v>120</v>
      </c>
      <c r="G68" t="str">
        <f t="shared" ref="G68:G131" si="1">IFERROR(_xlfn.TEXTBEFORE(C68, " "), C68)</f>
        <v>Halalkalibacterium</v>
      </c>
    </row>
    <row r="69" spans="1:7" x14ac:dyDescent="0.2">
      <c r="A69" t="s">
        <v>71</v>
      </c>
      <c r="B69" t="s">
        <v>552</v>
      </c>
      <c r="C69" t="s">
        <v>693</v>
      </c>
      <c r="D69" t="str" cm="1">
        <f t="array" ref="D69">_xlfn.LET(
    _xlpm.searchText, B69,
    _xlpm.matchIndex, MATCH(TRUE, INDEX(ISNUMBER(SEARCH(E:E, _xlpm.searchText)), 0), 0),
    IF(ISNA(_xlpm.matchIndex), "",
       INDEX(F:F, _xlpm.matchIndex)
    )
)</f>
        <v>SpoIIIAH</v>
      </c>
      <c r="E69" s="2" t="s">
        <v>1050</v>
      </c>
      <c r="F69" s="2" t="s">
        <v>120</v>
      </c>
      <c r="G69" t="str">
        <f t="shared" si="1"/>
        <v>Oceanobacillus</v>
      </c>
    </row>
    <row r="70" spans="1:7" x14ac:dyDescent="0.2">
      <c r="A70" t="s">
        <v>72</v>
      </c>
      <c r="B70" t="s">
        <v>553</v>
      </c>
      <c r="C70" t="s">
        <v>694</v>
      </c>
      <c r="D70" t="str" cm="1">
        <f t="array" ref="D70">_xlfn.LET(
    _xlpm.searchText, B70,
    _xlpm.matchIndex, MATCH(TRUE, INDEX(ISNUMBER(SEARCH(E:E, _xlpm.searchText)), 0), 0),
    IF(ISNA(_xlpm.matchIndex), "",
       INDEX(F:F, _xlpm.matchIndex)
    )
)</f>
        <v>hypothetical</v>
      </c>
      <c r="E70" s="3" t="s">
        <v>1051</v>
      </c>
      <c r="F70" s="3" t="s">
        <v>1052</v>
      </c>
      <c r="G70" t="str">
        <f t="shared" si="1"/>
        <v>Thermoanaerobacter</v>
      </c>
    </row>
    <row r="71" spans="1:7" x14ac:dyDescent="0.2">
      <c r="A71" t="s">
        <v>73</v>
      </c>
      <c r="B71" t="s">
        <v>554</v>
      </c>
      <c r="C71" t="s">
        <v>695</v>
      </c>
      <c r="D71" t="str" cm="1">
        <f t="array" ref="D71">_xlfn.LET(
    _xlpm.searchText, B71,
    _xlpm.matchIndex, MATCH(TRUE, INDEX(ISNUMBER(SEARCH(E:E, _xlpm.searchText)), 0), 0),
    IF(ISNA(_xlpm.matchIndex), "",
       INDEX(F:F, _xlpm.matchIndex)
    )
)</f>
        <v>hypothetical</v>
      </c>
      <c r="E71" s="2" t="s">
        <v>520</v>
      </c>
      <c r="F71" s="2" t="s">
        <v>520</v>
      </c>
      <c r="G71" t="str">
        <f t="shared" si="1"/>
        <v>Natranaerobius</v>
      </c>
    </row>
    <row r="72" spans="1:7" x14ac:dyDescent="0.2">
      <c r="A72" t="s">
        <v>74</v>
      </c>
      <c r="B72" t="s">
        <v>555</v>
      </c>
      <c r="C72" t="s">
        <v>696</v>
      </c>
      <c r="D72" t="str" cm="1">
        <f t="array" ref="D72">_xlfn.LET(
    _xlpm.searchText, B72,
    _xlpm.matchIndex, MATCH(TRUE, INDEX(ISNUMBER(SEARCH(E:E, _xlpm.searchText)), 0), 0),
    IF(ISNA(_xlpm.matchIndex), "",
       INDEX(F:F, _xlpm.matchIndex)
    )
)</f>
        <v>hypothetical</v>
      </c>
      <c r="E72" s="3" t="s">
        <v>1053</v>
      </c>
      <c r="F72" s="3" t="s">
        <v>1054</v>
      </c>
      <c r="G72" t="str">
        <f t="shared" si="1"/>
        <v>Halothermothrix</v>
      </c>
    </row>
    <row r="73" spans="1:7" x14ac:dyDescent="0.2">
      <c r="A73" t="s">
        <v>75</v>
      </c>
      <c r="B73" t="s">
        <v>556</v>
      </c>
      <c r="C73" t="s">
        <v>697</v>
      </c>
      <c r="D73" t="str" cm="1">
        <f t="array" ref="D73">_xlfn.LET(
    _xlpm.searchText, B73,
    _xlpm.matchIndex, MATCH(TRUE, INDEX(ISNUMBER(SEARCH(E:E, _xlpm.searchText)), 0), 0),
    IF(ISNA(_xlpm.matchIndex), "",
       INDEX(F:F, _xlpm.matchIndex)
    )
)</f>
        <v>hypothetical</v>
      </c>
      <c r="E73" s="2" t="s">
        <v>14</v>
      </c>
      <c r="F73" s="2" t="s">
        <v>14</v>
      </c>
      <c r="G73" t="str">
        <f t="shared" si="1"/>
        <v>Desulfitobacterium</v>
      </c>
    </row>
    <row r="74" spans="1:7" x14ac:dyDescent="0.2">
      <c r="A74" t="s">
        <v>76</v>
      </c>
      <c r="B74" t="s">
        <v>557</v>
      </c>
      <c r="C74" t="s">
        <v>698</v>
      </c>
      <c r="D74" t="str" cm="1">
        <f t="array" ref="D74">_xlfn.LET(
    _xlpm.searchText, B74,
    _xlpm.matchIndex, MATCH(TRUE, INDEX(ISNUMBER(SEARCH(E:E, _xlpm.searchText)), 0), 0),
    IF(ISNA(_xlpm.matchIndex), "",
       INDEX(F:F, _xlpm.matchIndex)
    )
)</f>
        <v>hypothetical</v>
      </c>
      <c r="E74" s="3" t="s">
        <v>1041</v>
      </c>
      <c r="F74" s="3" t="s">
        <v>1042</v>
      </c>
      <c r="G74" t="str">
        <f t="shared" si="1"/>
        <v>Dethiobacter</v>
      </c>
    </row>
    <row r="75" spans="1:7" x14ac:dyDescent="0.2">
      <c r="A75" t="s">
        <v>77</v>
      </c>
      <c r="B75" t="s">
        <v>558</v>
      </c>
      <c r="C75" t="s">
        <v>699</v>
      </c>
      <c r="D75" t="str" cm="1">
        <f t="array" ref="D75">_xlfn.LET(
    _xlpm.searchText, B75,
    _xlpm.matchIndex, MATCH(TRUE, INDEX(ISNUMBER(SEARCH(E:E, _xlpm.searchText)), 0), 0),
    IF(ISNA(_xlpm.matchIndex), "",
       INDEX(F:F, _xlpm.matchIndex)
    )
)</f>
        <v>hypothetical</v>
      </c>
      <c r="E75" s="2" t="s">
        <v>1043</v>
      </c>
      <c r="F75" s="2" t="s">
        <v>1042</v>
      </c>
      <c r="G75" t="str">
        <f t="shared" si="1"/>
        <v>Acetonema</v>
      </c>
    </row>
    <row r="76" spans="1:7" x14ac:dyDescent="0.2">
      <c r="A76" t="s">
        <v>78</v>
      </c>
      <c r="B76" t="s">
        <v>559</v>
      </c>
      <c r="C76" t="s">
        <v>741</v>
      </c>
      <c r="D76" t="str" cm="1">
        <f t="array" ref="D76">_xlfn.LET(
    _xlpm.searchText, B76,
    _xlpm.matchIndex, MATCH(TRUE, INDEX(ISNUMBER(SEARCH(E:E, _xlpm.searchText)), 0), 0),
    IF(ISNA(_xlpm.matchIndex), "",
       INDEX(F:F, _xlpm.matchIndex)
    )
)</f>
        <v>hypothetical</v>
      </c>
      <c r="E76" s="3" t="s">
        <v>1012</v>
      </c>
      <c r="F76" s="3" t="s">
        <v>1013</v>
      </c>
      <c r="G76" t="str">
        <f t="shared" si="1"/>
        <v>Alkalihalobacillus</v>
      </c>
    </row>
    <row r="77" spans="1:7" x14ac:dyDescent="0.2">
      <c r="A77" t="s">
        <v>79</v>
      </c>
      <c r="B77" t="s">
        <v>560</v>
      </c>
      <c r="C77" t="s">
        <v>700</v>
      </c>
      <c r="D77" t="str" cm="1">
        <f t="array" ref="D77">_xlfn.LET(
    _xlpm.searchText, B77,
    _xlpm.matchIndex, MATCH(TRUE, INDEX(ISNUMBER(SEARCH(E:E, _xlpm.searchText)), 0), 0),
    IF(ISNA(_xlpm.matchIndex), "",
       INDEX(F:F, _xlpm.matchIndex)
    )
)</f>
        <v>hypothetical</v>
      </c>
      <c r="E77" s="2" t="s">
        <v>1014</v>
      </c>
      <c r="F77" s="2" t="s">
        <v>1013</v>
      </c>
      <c r="G77" t="str">
        <f t="shared" si="1"/>
        <v>Paenibacillus</v>
      </c>
    </row>
    <row r="78" spans="1:7" x14ac:dyDescent="0.2">
      <c r="A78" t="s">
        <v>80</v>
      </c>
      <c r="B78" t="s">
        <v>549</v>
      </c>
      <c r="C78" t="s">
        <v>701</v>
      </c>
      <c r="D78" t="str" cm="1">
        <f t="array" ref="D78">_xlfn.LET(
    _xlpm.searchText, B78,
    _xlpm.matchIndex, MATCH(TRUE, INDEX(ISNUMBER(SEARCH(E:E, _xlpm.searchText)), 0), 0),
    IF(ISNA(_xlpm.matchIndex), "",
       INDEX(F:F, _xlpm.matchIndex)
    )
)</f>
        <v>SpoIIIAH</v>
      </c>
      <c r="E78" s="3" t="s">
        <v>1027</v>
      </c>
      <c r="F78" s="3" t="s">
        <v>14</v>
      </c>
      <c r="G78" t="str">
        <f t="shared" si="1"/>
        <v>Weizmannia</v>
      </c>
    </row>
    <row r="79" spans="1:7" x14ac:dyDescent="0.2">
      <c r="A79" t="s">
        <v>81</v>
      </c>
      <c r="B79" t="s">
        <v>561</v>
      </c>
      <c r="C79" t="s">
        <v>702</v>
      </c>
      <c r="D79" t="str" cm="1">
        <f t="array" ref="D79">_xlfn.LET(
    _xlpm.searchText, B79,
    _xlpm.matchIndex, MATCH(TRUE, INDEX(ISNUMBER(SEARCH(E:E, _xlpm.searchText)), 0), 0),
    IF(ISNA(_xlpm.matchIndex), "",
       INDEX(F:F, _xlpm.matchIndex)
    )
)</f>
        <v>SpoIIIAH</v>
      </c>
      <c r="E79" s="2" t="s">
        <v>1003</v>
      </c>
      <c r="F79" s="2" t="s">
        <v>1004</v>
      </c>
      <c r="G79" t="str">
        <f t="shared" si="1"/>
        <v>Clostridium</v>
      </c>
    </row>
    <row r="80" spans="1:7" x14ac:dyDescent="0.2">
      <c r="A80" t="s">
        <v>82</v>
      </c>
      <c r="B80" t="s">
        <v>549</v>
      </c>
      <c r="C80" t="s">
        <v>704</v>
      </c>
      <c r="D80" t="str" cm="1">
        <f t="array" ref="D80">_xlfn.LET(
    _xlpm.searchText, B80,
    _xlpm.matchIndex, MATCH(TRUE, INDEX(ISNUMBER(SEARCH(E:E, _xlpm.searchText)), 0), 0),
    IF(ISNA(_xlpm.matchIndex), "",
       INDEX(F:F, _xlpm.matchIndex)
    )
)</f>
        <v>SpoIIIAH</v>
      </c>
      <c r="E80" t="s">
        <v>1008</v>
      </c>
      <c r="F80" t="s">
        <v>1004</v>
      </c>
      <c r="G80" t="str">
        <f t="shared" si="1"/>
        <v>Moorella</v>
      </c>
    </row>
    <row r="81" spans="1:7" x14ac:dyDescent="0.2">
      <c r="A81" t="s">
        <v>83</v>
      </c>
      <c r="B81" t="s">
        <v>562</v>
      </c>
      <c r="C81" t="s">
        <v>705</v>
      </c>
      <c r="D81" t="str" cm="1">
        <f t="array" ref="D81">_xlfn.LET(
    _xlpm.searchText, B81,
    _xlpm.matchIndex, MATCH(TRUE, INDEX(ISNUMBER(SEARCH(E:E, _xlpm.searchText)), 0), 0),
    IF(ISNA(_xlpm.matchIndex), "",
       INDEX(F:F, _xlpm.matchIndex)
    )
)</f>
        <v>hypothetical</v>
      </c>
      <c r="E81" s="2" t="s">
        <v>1009</v>
      </c>
      <c r="F81" s="2" t="s">
        <v>391</v>
      </c>
      <c r="G81" t="str">
        <f t="shared" si="1"/>
        <v>Natranaerobius</v>
      </c>
    </row>
    <row r="82" spans="1:7" x14ac:dyDescent="0.2">
      <c r="A82" t="s">
        <v>84</v>
      </c>
      <c r="B82" t="s">
        <v>549</v>
      </c>
      <c r="C82" t="s">
        <v>706</v>
      </c>
      <c r="D82" t="str" cm="1">
        <f t="array" ref="D82">_xlfn.LET(
    _xlpm.searchText, B82,
    _xlpm.matchIndex, MATCH(TRUE, INDEX(ISNUMBER(SEARCH(E:E, _xlpm.searchText)), 0), 0),
    IF(ISNA(_xlpm.matchIndex), "",
       INDEX(F:F, _xlpm.matchIndex)
    )
)</f>
        <v>SpoIIIAH</v>
      </c>
      <c r="E82" t="s">
        <v>999</v>
      </c>
      <c r="F82" t="s">
        <v>1000</v>
      </c>
      <c r="G82" t="str">
        <f t="shared" si="1"/>
        <v>Brevibacillus</v>
      </c>
    </row>
    <row r="83" spans="1:7" x14ac:dyDescent="0.2">
      <c r="A83" t="s">
        <v>85</v>
      </c>
      <c r="B83" t="s">
        <v>549</v>
      </c>
      <c r="C83" t="s">
        <v>707</v>
      </c>
      <c r="D83" t="str" cm="1">
        <f t="array" ref="D83">_xlfn.LET(
    _xlpm.searchText, B83,
    _xlpm.matchIndex, MATCH(TRUE, INDEX(ISNUMBER(SEARCH(E:E, _xlpm.searchText)), 0), 0),
    IF(ISNA(_xlpm.matchIndex), "",
       INDEX(F:F, _xlpm.matchIndex)
    )
)</f>
        <v>SpoIIIAH</v>
      </c>
      <c r="E83" t="s">
        <v>1005</v>
      </c>
      <c r="F83" t="s">
        <v>1063</v>
      </c>
      <c r="G83" t="str">
        <f t="shared" si="1"/>
        <v>Monoglobus</v>
      </c>
    </row>
    <row r="84" spans="1:7" x14ac:dyDescent="0.2">
      <c r="A84" t="s">
        <v>86</v>
      </c>
      <c r="B84" t="s">
        <v>548</v>
      </c>
      <c r="C84" t="s">
        <v>708</v>
      </c>
      <c r="D84" t="str" cm="1">
        <f t="array" ref="D84">_xlfn.LET(
    _xlpm.searchText, B84,
    _xlpm.matchIndex, MATCH(TRUE, INDEX(ISNUMBER(SEARCH(E:E, _xlpm.searchText)), 0), 0),
    IF(ISNA(_xlpm.matchIndex), "",
       INDEX(F:F, _xlpm.matchIndex)
    )
)</f>
        <v>SpoIIIAH</v>
      </c>
      <c r="G84" t="str">
        <f t="shared" si="1"/>
        <v>Tissierella</v>
      </c>
    </row>
    <row r="85" spans="1:7" x14ac:dyDescent="0.2">
      <c r="A85" t="s">
        <v>87</v>
      </c>
      <c r="B85" t="s">
        <v>563</v>
      </c>
      <c r="C85" t="s">
        <v>742</v>
      </c>
      <c r="D85" t="str" cm="1">
        <f t="array" ref="D85">_xlfn.LET(
    _xlpm.searchText, B85,
    _xlpm.matchIndex, MATCH(TRUE, INDEX(ISNUMBER(SEARCH(E:E, _xlpm.searchText)), 0), 0),
    IF(ISNA(_xlpm.matchIndex), "",
       INDEX(F:F, _xlpm.matchIndex)
    )
)</f>
        <v>hypothetical</v>
      </c>
      <c r="G85" t="str">
        <f t="shared" si="1"/>
        <v>Turicibacter</v>
      </c>
    </row>
    <row r="86" spans="1:7" x14ac:dyDescent="0.2">
      <c r="A86" t="s">
        <v>88</v>
      </c>
      <c r="B86" t="s">
        <v>548</v>
      </c>
      <c r="C86" t="s">
        <v>709</v>
      </c>
      <c r="D86" t="str" cm="1">
        <f t="array" ref="D86">_xlfn.LET(
    _xlpm.searchText, B86,
    _xlpm.matchIndex, MATCH(TRUE, INDEX(ISNUMBER(SEARCH(E:E, _xlpm.searchText)), 0), 0),
    IF(ISNA(_xlpm.matchIndex), "",
       INDEX(F:F, _xlpm.matchIndex)
    )
)</f>
        <v>SpoIIIAH</v>
      </c>
      <c r="G86" t="str">
        <f t="shared" si="1"/>
        <v>Alkalicella</v>
      </c>
    </row>
    <row r="87" spans="1:7" x14ac:dyDescent="0.2">
      <c r="A87" t="s">
        <v>89</v>
      </c>
      <c r="B87" t="s">
        <v>564</v>
      </c>
      <c r="C87" t="s">
        <v>710</v>
      </c>
      <c r="D87" t="str" cm="1">
        <f t="array" ref="D87">_xlfn.LET(
    _xlpm.searchText, B87,
    _xlpm.matchIndex, MATCH(TRUE, INDEX(ISNUMBER(SEARCH(E:E, _xlpm.searchText)), 0), 0),
    IF(ISNA(_xlpm.matchIndex), "",
       INDEX(F:F, _xlpm.matchIndex)
    )
)</f>
        <v>SpoIIIAH</v>
      </c>
      <c r="G87" t="str">
        <f t="shared" si="1"/>
        <v>Natranaerofaba</v>
      </c>
    </row>
    <row r="88" spans="1:7" x14ac:dyDescent="0.2">
      <c r="A88" t="s">
        <v>90</v>
      </c>
      <c r="B88" t="s">
        <v>548</v>
      </c>
      <c r="C88" t="s">
        <v>711</v>
      </c>
      <c r="D88" t="str" cm="1">
        <f t="array" ref="D88">_xlfn.LET(
    _xlpm.searchText, B88,
    _xlpm.matchIndex, MATCH(TRUE, INDEX(ISNUMBER(SEARCH(E:E, _xlpm.searchText)), 0), 0),
    IF(ISNA(_xlpm.matchIndex), "",
       INDEX(F:F, _xlpm.matchIndex)
    )
)</f>
        <v>SpoIIIAH</v>
      </c>
      <c r="G88" t="str">
        <f t="shared" si="1"/>
        <v>Candidatus</v>
      </c>
    </row>
    <row r="89" spans="1:7" x14ac:dyDescent="0.2">
      <c r="A89" t="s">
        <v>91</v>
      </c>
      <c r="B89" t="s">
        <v>548</v>
      </c>
      <c r="C89" t="s">
        <v>712</v>
      </c>
      <c r="D89" t="str" cm="1">
        <f t="array" ref="D89">_xlfn.LET(
    _xlpm.searchText, B89,
    _xlpm.matchIndex, MATCH(TRUE, INDEX(ISNUMBER(SEARCH(E:E, _xlpm.searchText)), 0), 0),
    IF(ISNA(_xlpm.matchIndex), "",
       INDEX(F:F, _xlpm.matchIndex)
    )
)</f>
        <v>SpoIIIAH</v>
      </c>
      <c r="G89" t="str">
        <f t="shared" si="1"/>
        <v>Anaerovorax</v>
      </c>
    </row>
    <row r="90" spans="1:7" x14ac:dyDescent="0.2">
      <c r="A90" t="s">
        <v>92</v>
      </c>
      <c r="B90" t="s">
        <v>549</v>
      </c>
      <c r="C90" t="s">
        <v>713</v>
      </c>
      <c r="D90" t="str" cm="1">
        <f t="array" ref="D90">_xlfn.LET(
    _xlpm.searchText, B90,
    _xlpm.matchIndex, MATCH(TRUE, INDEX(ISNUMBER(SEARCH(E:E, _xlpm.searchText)), 0), 0),
    IF(ISNA(_xlpm.matchIndex), "",
       INDEX(F:F, _xlpm.matchIndex)
    )
)</f>
        <v>SpoIIIAH</v>
      </c>
      <c r="G90" t="str">
        <f t="shared" si="1"/>
        <v>Anaerobranca</v>
      </c>
    </row>
    <row r="91" spans="1:7" x14ac:dyDescent="0.2">
      <c r="A91" t="s">
        <v>93</v>
      </c>
      <c r="B91" t="s">
        <v>548</v>
      </c>
      <c r="C91" t="s">
        <v>714</v>
      </c>
      <c r="D91" t="str" cm="1">
        <f t="array" ref="D91">_xlfn.LET(
    _xlpm.searchText, B91,
    _xlpm.matchIndex, MATCH(TRUE, INDEX(ISNUMBER(SEARCH(E:E, _xlpm.searchText)), 0), 0),
    IF(ISNA(_xlpm.matchIndex), "",
       INDEX(F:F, _xlpm.matchIndex)
    )
)</f>
        <v>SpoIIIAH</v>
      </c>
      <c r="G91" t="str">
        <f t="shared" si="1"/>
        <v>Epulopiscium</v>
      </c>
    </row>
    <row r="92" spans="1:7" x14ac:dyDescent="0.2">
      <c r="A92" t="s">
        <v>94</v>
      </c>
      <c r="B92" t="s">
        <v>548</v>
      </c>
      <c r="C92" t="s">
        <v>715</v>
      </c>
      <c r="D92" t="str" cm="1">
        <f t="array" ref="D92">_xlfn.LET(
    _xlpm.searchText, B92,
    _xlpm.matchIndex, MATCH(TRUE, INDEX(ISNUMBER(SEARCH(E:E, _xlpm.searchText)), 0), 0),
    IF(ISNA(_xlpm.matchIndex), "",
       INDEX(F:F, _xlpm.matchIndex)
    )
)</f>
        <v>SpoIIIAH</v>
      </c>
      <c r="G92" t="str">
        <f t="shared" si="1"/>
        <v>Alkalihalobacillus</v>
      </c>
    </row>
    <row r="93" spans="1:7" x14ac:dyDescent="0.2">
      <c r="A93" t="s">
        <v>95</v>
      </c>
      <c r="B93" t="s">
        <v>565</v>
      </c>
      <c r="C93" t="s">
        <v>683</v>
      </c>
      <c r="D93" t="str" cm="1">
        <f t="array" ref="D93">_xlfn.LET(
    _xlpm.searchText, B93,
    _xlpm.matchIndex, MATCH(TRUE, INDEX(ISNUMBER(SEARCH(E:E, _xlpm.searchText)), 0), 0),
    IF(ISNA(_xlpm.matchIndex), "",
       INDEX(F:F, _xlpm.matchIndex)
    )
)</f>
        <v>SpoIIIAG</v>
      </c>
      <c r="G93" t="str">
        <f t="shared" si="1"/>
        <v>Clostridium</v>
      </c>
    </row>
    <row r="94" spans="1:7" x14ac:dyDescent="0.2">
      <c r="A94" t="s">
        <v>96</v>
      </c>
      <c r="B94" t="s">
        <v>565</v>
      </c>
      <c r="C94" t="s">
        <v>718</v>
      </c>
      <c r="D94" t="str" cm="1">
        <f t="array" ref="D94">_xlfn.LET(
    _xlpm.searchText, B94,
    _xlpm.matchIndex, MATCH(TRUE, INDEX(ISNUMBER(SEARCH(E:E, _xlpm.searchText)), 0), 0),
    IF(ISNA(_xlpm.matchIndex), "",
       INDEX(F:F, _xlpm.matchIndex)
    )
)</f>
        <v>SpoIIIAG</v>
      </c>
      <c r="G94" t="str">
        <f t="shared" si="1"/>
        <v>Solibacillus</v>
      </c>
    </row>
    <row r="95" spans="1:7" x14ac:dyDescent="0.2">
      <c r="A95" t="s">
        <v>97</v>
      </c>
      <c r="B95" t="s">
        <v>566</v>
      </c>
      <c r="C95" t="s">
        <v>719</v>
      </c>
      <c r="D95" t="str" cm="1">
        <f t="array" ref="D95">_xlfn.LET(
    _xlpm.searchText, B95,
    _xlpm.matchIndex, MATCH(TRUE, INDEX(ISNUMBER(SEARCH(E:E, _xlpm.searchText)), 0), 0),
    IF(ISNA(_xlpm.matchIndex), "",
       INDEX(F:F, _xlpm.matchIndex)
    )
)</f>
        <v>hypothetical</v>
      </c>
      <c r="G95" t="str">
        <f t="shared" si="1"/>
        <v>Bacteria</v>
      </c>
    </row>
    <row r="96" spans="1:7" x14ac:dyDescent="0.2">
      <c r="A96" t="s">
        <v>98</v>
      </c>
      <c r="B96" t="s">
        <v>566</v>
      </c>
      <c r="C96" t="s">
        <v>743</v>
      </c>
      <c r="D96" t="str" cm="1">
        <f t="array" ref="D96">_xlfn.LET(
    _xlpm.searchText, B96,
    _xlpm.matchIndex, MATCH(TRUE, INDEX(ISNUMBER(SEARCH(E:E, _xlpm.searchText)), 0), 0),
    IF(ISNA(_xlpm.matchIndex), "",
       INDEX(F:F, _xlpm.matchIndex)
    )
)</f>
        <v>hypothetical</v>
      </c>
      <c r="G96" t="str">
        <f t="shared" si="1"/>
        <v>Viridibacillus</v>
      </c>
    </row>
    <row r="97" spans="1:7" x14ac:dyDescent="0.2">
      <c r="A97" t="s">
        <v>99</v>
      </c>
      <c r="B97" t="s">
        <v>566</v>
      </c>
      <c r="C97" t="s">
        <v>723</v>
      </c>
      <c r="D97" t="str" cm="1">
        <f t="array" ref="D97">_xlfn.LET(
    _xlpm.searchText, B97,
    _xlpm.matchIndex, MATCH(TRUE, INDEX(ISNUMBER(SEARCH(E:E, _xlpm.searchText)), 0), 0),
    IF(ISNA(_xlpm.matchIndex), "",
       INDEX(F:F, _xlpm.matchIndex)
    )
)</f>
        <v>hypothetical</v>
      </c>
      <c r="G97" t="str">
        <f t="shared" si="1"/>
        <v>Sporosarcina</v>
      </c>
    </row>
    <row r="98" spans="1:7" x14ac:dyDescent="0.2">
      <c r="A98" t="s">
        <v>100</v>
      </c>
      <c r="B98" t="s">
        <v>547</v>
      </c>
      <c r="C98" t="s">
        <v>726</v>
      </c>
      <c r="D98" t="str" cm="1">
        <f t="array" ref="D98">_xlfn.LET(
    _xlpm.searchText, B98,
    _xlpm.matchIndex, MATCH(TRUE, INDEX(ISNUMBER(SEARCH(E:E, _xlpm.searchText)), 0), 0),
    IF(ISNA(_xlpm.matchIndex), "",
       INDEX(F:F, _xlpm.matchIndex)
    )
)</f>
        <v>hypothetical</v>
      </c>
      <c r="G98" t="str">
        <f t="shared" si="1"/>
        <v>Rummeliibacillus</v>
      </c>
    </row>
    <row r="99" spans="1:7" x14ac:dyDescent="0.2">
      <c r="A99" t="s">
        <v>101</v>
      </c>
      <c r="B99" t="s">
        <v>547</v>
      </c>
      <c r="C99" t="s">
        <v>744</v>
      </c>
      <c r="D99" t="str" cm="1">
        <f t="array" ref="D99">_xlfn.LET(
    _xlpm.searchText, B99,
    _xlpm.matchIndex, MATCH(TRUE, INDEX(ISNUMBER(SEARCH(E:E, _xlpm.searchText)), 0), 0),
    IF(ISNA(_xlpm.matchIndex), "",
       INDEX(F:F, _xlpm.matchIndex)
    )
)</f>
        <v>hypothetical</v>
      </c>
      <c r="G99" t="str">
        <f t="shared" si="1"/>
        <v>Lysinibacillus</v>
      </c>
    </row>
    <row r="100" spans="1:7" x14ac:dyDescent="0.2">
      <c r="A100" t="s">
        <v>102</v>
      </c>
      <c r="B100" t="s">
        <v>566</v>
      </c>
      <c r="C100" t="s">
        <v>728</v>
      </c>
      <c r="D100" t="str" cm="1">
        <f t="array" ref="D100">_xlfn.LET(
    _xlpm.searchText, B100,
    _xlpm.matchIndex, MATCH(TRUE, INDEX(ISNUMBER(SEARCH(E:E, _xlpm.searchText)), 0), 0),
    IF(ISNA(_xlpm.matchIndex), "",
       INDEX(F:F, _xlpm.matchIndex)
    )
)</f>
        <v>hypothetical</v>
      </c>
      <c r="G100" t="str">
        <f t="shared" si="1"/>
        <v>Metasolibacillus</v>
      </c>
    </row>
    <row r="101" spans="1:7" x14ac:dyDescent="0.2">
      <c r="A101" t="s">
        <v>103</v>
      </c>
      <c r="B101" t="s">
        <v>566</v>
      </c>
      <c r="C101" t="s">
        <v>745</v>
      </c>
      <c r="D101" t="str" cm="1">
        <f t="array" ref="D101">_xlfn.LET(
    _xlpm.searchText, B101,
    _xlpm.matchIndex, MATCH(TRUE, INDEX(ISNUMBER(SEARCH(E:E, _xlpm.searchText)), 0), 0),
    IF(ISNA(_xlpm.matchIndex), "",
       INDEX(F:F, _xlpm.matchIndex)
    )
)</f>
        <v>hypothetical</v>
      </c>
      <c r="G101" t="str">
        <f t="shared" si="1"/>
        <v>Paenisporosarcina</v>
      </c>
    </row>
    <row r="102" spans="1:7" x14ac:dyDescent="0.2">
      <c r="A102" t="s">
        <v>104</v>
      </c>
      <c r="B102" t="s">
        <v>566</v>
      </c>
      <c r="C102" t="s">
        <v>731</v>
      </c>
      <c r="D102" t="str" cm="1">
        <f t="array" ref="D102">_xlfn.LET(
    _xlpm.searchText, B102,
    _xlpm.matchIndex, MATCH(TRUE, INDEX(ISNUMBER(SEARCH(E:E, _xlpm.searchText)), 0), 0),
    IF(ISNA(_xlpm.matchIndex), "",
       INDEX(F:F, _xlpm.matchIndex)
    )
)</f>
        <v>hypothetical</v>
      </c>
      <c r="G102" t="str">
        <f t="shared" si="1"/>
        <v>Rummeliibacillus</v>
      </c>
    </row>
    <row r="103" spans="1:7" x14ac:dyDescent="0.2">
      <c r="A103" t="s">
        <v>105</v>
      </c>
      <c r="B103" t="s">
        <v>566</v>
      </c>
      <c r="C103" t="s">
        <v>732</v>
      </c>
      <c r="D103" t="str" cm="1">
        <f t="array" ref="D103">_xlfn.LET(
    _xlpm.searchText, B103,
    _xlpm.matchIndex, MATCH(TRUE, INDEX(ISNUMBER(SEARCH(E:E, _xlpm.searchText)), 0), 0),
    IF(ISNA(_xlpm.matchIndex), "",
       INDEX(F:F, _xlpm.matchIndex)
    )
)</f>
        <v>hypothetical</v>
      </c>
      <c r="G103" t="str">
        <f t="shared" si="1"/>
        <v>Psychrobacillus</v>
      </c>
    </row>
    <row r="104" spans="1:7" x14ac:dyDescent="0.2">
      <c r="A104" t="s">
        <v>106</v>
      </c>
      <c r="B104" t="s">
        <v>537</v>
      </c>
      <c r="C104" t="s">
        <v>684</v>
      </c>
      <c r="D104" t="str" cm="1">
        <f t="array" ref="D104">_xlfn.LET(
    _xlpm.searchText, B104,
    _xlpm.matchIndex, MATCH(TRUE, INDEX(ISNUMBER(SEARCH(E:E, _xlpm.searchText)), 0), 0),
    IF(ISNA(_xlpm.matchIndex), "",
       INDEX(F:F, _xlpm.matchIndex)
    )
)</f>
        <v>Sporulation</v>
      </c>
      <c r="G104" t="str">
        <f t="shared" si="1"/>
        <v>Alkalihalophilus</v>
      </c>
    </row>
    <row r="105" spans="1:7" x14ac:dyDescent="0.2">
      <c r="A105" t="s">
        <v>107</v>
      </c>
      <c r="B105" t="s">
        <v>567</v>
      </c>
      <c r="C105" t="s">
        <v>685</v>
      </c>
      <c r="D105" t="str" cm="1">
        <f t="array" ref="D105">_xlfn.LET(
    _xlpm.searchText, B105,
    _xlpm.matchIndex, MATCH(TRUE, INDEX(ISNUMBER(SEARCH(E:E, _xlpm.searchText)), 0), 0),
    IF(ISNA(_xlpm.matchIndex), "",
       INDEX(F:F, _xlpm.matchIndex)
    )
)</f>
        <v>SpoIIIAG</v>
      </c>
      <c r="G105" t="str">
        <f t="shared" si="1"/>
        <v>Clostridium</v>
      </c>
    </row>
    <row r="106" spans="1:7" x14ac:dyDescent="0.2">
      <c r="A106" t="s">
        <v>108</v>
      </c>
      <c r="B106" t="s">
        <v>567</v>
      </c>
      <c r="C106" t="s">
        <v>686</v>
      </c>
      <c r="D106" t="str" cm="1">
        <f t="array" ref="D106">_xlfn.LET(
    _xlpm.searchText, B106,
    _xlpm.matchIndex, MATCH(TRUE, INDEX(ISNUMBER(SEARCH(E:E, _xlpm.searchText)), 0), 0),
    IF(ISNA(_xlpm.matchIndex), "",
       INDEX(F:F, _xlpm.matchIndex)
    )
)</f>
        <v>SpoIIIAG</v>
      </c>
      <c r="G106" t="str">
        <f t="shared" si="1"/>
        <v>Bacillus</v>
      </c>
    </row>
    <row r="107" spans="1:7" x14ac:dyDescent="0.2">
      <c r="A107" t="s">
        <v>109</v>
      </c>
      <c r="B107" t="s">
        <v>568</v>
      </c>
      <c r="C107" t="s">
        <v>687</v>
      </c>
      <c r="D107" t="str" cm="1">
        <f t="array" ref="D107">_xlfn.LET(
    _xlpm.searchText, B107,
    _xlpm.matchIndex, MATCH(TRUE, INDEX(ISNUMBER(SEARCH(E:E, _xlpm.searchText)), 0), 0),
    IF(ISNA(_xlpm.matchIndex), "",
       INDEX(F:F, _xlpm.matchIndex)
    )
)</f>
        <v>SpoIIIAG</v>
      </c>
      <c r="G107" t="str">
        <f t="shared" si="1"/>
        <v>Bacillus</v>
      </c>
    </row>
    <row r="108" spans="1:7" x14ac:dyDescent="0.2">
      <c r="A108" t="s">
        <v>111</v>
      </c>
      <c r="B108" t="s">
        <v>569</v>
      </c>
      <c r="C108" t="s">
        <v>688</v>
      </c>
      <c r="D108" t="str" cm="1">
        <f t="array" ref="D108">_xlfn.LET(
    _xlpm.searchText, B108,
    _xlpm.matchIndex, MATCH(TRUE, INDEX(ISNUMBER(SEARCH(E:E, _xlpm.searchText)), 0), 0),
    IF(ISNA(_xlpm.matchIndex), "",
       INDEX(F:F, _xlpm.matchIndex)
    )
)</f>
        <v>Sporulation</v>
      </c>
      <c r="G108" t="str">
        <f t="shared" si="1"/>
        <v>Bacillus</v>
      </c>
    </row>
    <row r="109" spans="1:7" x14ac:dyDescent="0.2">
      <c r="A109" t="s">
        <v>112</v>
      </c>
      <c r="B109" t="s">
        <v>567</v>
      </c>
      <c r="C109" t="s">
        <v>689</v>
      </c>
      <c r="D109" t="str" cm="1">
        <f t="array" ref="D109">_xlfn.LET(
    _xlpm.searchText, B109,
    _xlpm.matchIndex, MATCH(TRUE, INDEX(ISNUMBER(SEARCH(E:E, _xlpm.searchText)), 0), 0),
    IF(ISNA(_xlpm.matchIndex), "",
       INDEX(F:F, _xlpm.matchIndex)
    )
)</f>
        <v>SpoIIIAG</v>
      </c>
      <c r="G109" t="str">
        <f t="shared" si="1"/>
        <v>Geobacillus</v>
      </c>
    </row>
    <row r="110" spans="1:7" x14ac:dyDescent="0.2">
      <c r="A110" t="s">
        <v>113</v>
      </c>
      <c r="B110" t="s">
        <v>567</v>
      </c>
      <c r="C110" t="s">
        <v>690</v>
      </c>
      <c r="D110" t="str" cm="1">
        <f t="array" ref="D110">_xlfn.LET(
    _xlpm.searchText, B110,
    _xlpm.matchIndex, MATCH(TRUE, INDEX(ISNUMBER(SEARCH(E:E, _xlpm.searchText)), 0), 0),
    IF(ISNA(_xlpm.matchIndex), "",
       INDEX(F:F, _xlpm.matchIndex)
    )
)</f>
        <v>SpoIIIAG</v>
      </c>
      <c r="G110" t="str">
        <f t="shared" si="1"/>
        <v>Alkalihalobacillus</v>
      </c>
    </row>
    <row r="111" spans="1:7" x14ac:dyDescent="0.2">
      <c r="A111" t="s">
        <v>114</v>
      </c>
      <c r="B111" t="s">
        <v>567</v>
      </c>
      <c r="C111" t="s">
        <v>691</v>
      </c>
      <c r="D111" t="str" cm="1">
        <f t="array" ref="D111">_xlfn.LET(
    _xlpm.searchText, B111,
    _xlpm.matchIndex, MATCH(TRUE, INDEX(ISNUMBER(SEARCH(E:E, _xlpm.searchText)), 0), 0),
    IF(ISNA(_xlpm.matchIndex), "",
       INDEX(F:F, _xlpm.matchIndex)
    )
)</f>
        <v>SpoIIIAG</v>
      </c>
      <c r="G111" t="str">
        <f t="shared" si="1"/>
        <v>Symbiobacterium</v>
      </c>
    </row>
    <row r="112" spans="1:7" x14ac:dyDescent="0.2">
      <c r="A112" t="s">
        <v>115</v>
      </c>
      <c r="B112" t="s">
        <v>537</v>
      </c>
      <c r="C112" t="s">
        <v>692</v>
      </c>
      <c r="D112" t="str" cm="1">
        <f t="array" ref="D112">_xlfn.LET(
    _xlpm.searchText, B112,
    _xlpm.matchIndex, MATCH(TRUE, INDEX(ISNUMBER(SEARCH(E:E, _xlpm.searchText)), 0), 0),
    IF(ISNA(_xlpm.matchIndex), "",
       INDEX(F:F, _xlpm.matchIndex)
    )
)</f>
        <v>Sporulation</v>
      </c>
      <c r="G112" t="str">
        <f t="shared" si="1"/>
        <v>Halalkalibacterium</v>
      </c>
    </row>
    <row r="113" spans="1:7" x14ac:dyDescent="0.2">
      <c r="A113" t="s">
        <v>116</v>
      </c>
      <c r="B113" t="s">
        <v>570</v>
      </c>
      <c r="C113" t="s">
        <v>693</v>
      </c>
      <c r="D113" t="str" cm="1">
        <f t="array" ref="D113">_xlfn.LET(
    _xlpm.searchText, B113,
    _xlpm.matchIndex, MATCH(TRUE, INDEX(ISNUMBER(SEARCH(E:E, _xlpm.searchText)), 0), 0),
    IF(ISNA(_xlpm.matchIndex), "",
       INDEX(F:F, _xlpm.matchIndex)
    )
)</f>
        <v>SpoIIIAG</v>
      </c>
      <c r="G113" t="str">
        <f t="shared" si="1"/>
        <v>Oceanobacillus</v>
      </c>
    </row>
    <row r="114" spans="1:7" x14ac:dyDescent="0.2">
      <c r="A114" t="s">
        <v>117</v>
      </c>
      <c r="B114" t="s">
        <v>571</v>
      </c>
      <c r="C114" t="s">
        <v>694</v>
      </c>
      <c r="D114" t="str" cm="1">
        <f t="array" ref="D114">_xlfn.LET(
    _xlpm.searchText, B114,
    _xlpm.matchIndex, MATCH(TRUE, INDEX(ISNUMBER(SEARCH(E:E, _xlpm.searchText)), 0), 0),
    IF(ISNA(_xlpm.matchIndex), "",
       INDEX(F:F, _xlpm.matchIndex)
    )
)</f>
        <v>hypothetical</v>
      </c>
      <c r="G114" t="str">
        <f t="shared" si="1"/>
        <v>Thermoanaerobacter</v>
      </c>
    </row>
    <row r="115" spans="1:7" x14ac:dyDescent="0.2">
      <c r="A115" t="s">
        <v>118</v>
      </c>
      <c r="B115" t="s">
        <v>572</v>
      </c>
      <c r="C115" t="s">
        <v>695</v>
      </c>
      <c r="D115" t="str" cm="1">
        <f t="array" ref="D115">_xlfn.LET(
    _xlpm.searchText, B115,
    _xlpm.matchIndex, MATCH(TRUE, INDEX(ISNUMBER(SEARCH(E:E, _xlpm.searchText)), 0), 0),
    IF(ISNA(_xlpm.matchIndex), "",
       INDEX(F:F, _xlpm.matchIndex)
    )
)</f>
        <v>SpoIIIAG</v>
      </c>
      <c r="G115" t="str">
        <f t="shared" si="1"/>
        <v>Natranaerobius</v>
      </c>
    </row>
    <row r="116" spans="1:7" x14ac:dyDescent="0.2">
      <c r="A116" t="s">
        <v>119</v>
      </c>
      <c r="B116" t="s">
        <v>573</v>
      </c>
      <c r="C116" t="s">
        <v>696</v>
      </c>
      <c r="D116" t="str" cm="1">
        <f t="array" ref="D116">_xlfn.LET(
    _xlpm.searchText, B116,
    _xlpm.matchIndex, MATCH(TRUE, INDEX(ISNUMBER(SEARCH(E:E, _xlpm.searchText)), 0), 0),
    IF(ISNA(_xlpm.matchIndex), "",
       INDEX(F:F, _xlpm.matchIndex)
    )
)</f>
        <v>SpoIIIAG</v>
      </c>
      <c r="G116" t="str">
        <f t="shared" si="1"/>
        <v>Halothermothrix</v>
      </c>
    </row>
    <row r="117" spans="1:7" x14ac:dyDescent="0.2">
      <c r="A117" t="s">
        <v>121</v>
      </c>
      <c r="B117" t="s">
        <v>574</v>
      </c>
      <c r="C117" t="s">
        <v>697</v>
      </c>
      <c r="D117" t="str" cm="1">
        <f t="array" ref="D117">_xlfn.LET(
    _xlpm.searchText, B117,
    _xlpm.matchIndex, MATCH(TRUE, INDEX(ISNUMBER(SEARCH(E:E, _xlpm.searchText)), 0), 0),
    IF(ISNA(_xlpm.matchIndex), "",
       INDEX(F:F, _xlpm.matchIndex)
    )
)</f>
        <v>SpoIIIAG</v>
      </c>
      <c r="G117" t="str">
        <f t="shared" si="1"/>
        <v>Desulfitobacterium</v>
      </c>
    </row>
    <row r="118" spans="1:7" x14ac:dyDescent="0.2">
      <c r="A118" t="s">
        <v>122</v>
      </c>
      <c r="B118" t="s">
        <v>575</v>
      </c>
      <c r="C118" t="s">
        <v>746</v>
      </c>
      <c r="D118" t="str" cm="1">
        <f t="array" ref="D118">_xlfn.LET(
    _xlpm.searchText, B118,
    _xlpm.matchIndex, MATCH(TRUE, INDEX(ISNUMBER(SEARCH(E:E, _xlpm.searchText)), 0), 0),
    IF(ISNA(_xlpm.matchIndex), "",
       INDEX(F:F, _xlpm.matchIndex)
    )
)</f>
        <v>hypothetical</v>
      </c>
      <c r="G118" t="str">
        <f t="shared" si="1"/>
        <v>Caldicellulosiruptor</v>
      </c>
    </row>
    <row r="119" spans="1:7" x14ac:dyDescent="0.2">
      <c r="A119" t="s">
        <v>123</v>
      </c>
      <c r="B119" t="s">
        <v>567</v>
      </c>
      <c r="C119" t="s">
        <v>698</v>
      </c>
      <c r="D119" t="str" cm="1">
        <f t="array" ref="D119">_xlfn.LET(
    _xlpm.searchText, B119,
    _xlpm.matchIndex, MATCH(TRUE, INDEX(ISNUMBER(SEARCH(E:E, _xlpm.searchText)), 0), 0),
    IF(ISNA(_xlpm.matchIndex), "",
       INDEX(F:F, _xlpm.matchIndex)
    )
)</f>
        <v>SpoIIIAG</v>
      </c>
      <c r="G119" t="str">
        <f t="shared" si="1"/>
        <v>Dethiobacter</v>
      </c>
    </row>
    <row r="120" spans="1:7" x14ac:dyDescent="0.2">
      <c r="A120" t="s">
        <v>124</v>
      </c>
      <c r="B120" t="s">
        <v>567</v>
      </c>
      <c r="C120" t="s">
        <v>747</v>
      </c>
      <c r="D120" t="str" cm="1">
        <f t="array" ref="D120">_xlfn.LET(
    _xlpm.searchText, B120,
    _xlpm.matchIndex, MATCH(TRUE, INDEX(ISNUMBER(SEARCH(E:E, _xlpm.searchText)), 0), 0),
    IF(ISNA(_xlpm.matchIndex), "",
       INDEX(F:F, _xlpm.matchIndex)
    )
)</f>
        <v>SpoIIIAG</v>
      </c>
      <c r="G120" t="str">
        <f t="shared" si="1"/>
        <v>Bacillus</v>
      </c>
    </row>
    <row r="121" spans="1:7" x14ac:dyDescent="0.2">
      <c r="A121" t="s">
        <v>125</v>
      </c>
      <c r="B121" t="s">
        <v>576</v>
      </c>
      <c r="C121" t="s">
        <v>699</v>
      </c>
      <c r="D121" t="str" cm="1">
        <f t="array" ref="D121">_xlfn.LET(
    _xlpm.searchText, B121,
    _xlpm.matchIndex, MATCH(TRUE, INDEX(ISNUMBER(SEARCH(E:E, _xlpm.searchText)), 0), 0),
    IF(ISNA(_xlpm.matchIndex), "",
       INDEX(F:F, _xlpm.matchIndex)
    )
)</f>
        <v>hypothetical</v>
      </c>
      <c r="G121" t="str">
        <f t="shared" si="1"/>
        <v>Acetonema</v>
      </c>
    </row>
    <row r="122" spans="1:7" x14ac:dyDescent="0.2">
      <c r="A122" t="s">
        <v>126</v>
      </c>
      <c r="B122" t="s">
        <v>567</v>
      </c>
      <c r="C122" t="s">
        <v>741</v>
      </c>
      <c r="D122" t="str" cm="1">
        <f t="array" ref="D122">_xlfn.LET(
    _xlpm.searchText, B122,
    _xlpm.matchIndex, MATCH(TRUE, INDEX(ISNUMBER(SEARCH(E:E, _xlpm.searchText)), 0), 0),
    IF(ISNA(_xlpm.matchIndex), "",
       INDEX(F:F, _xlpm.matchIndex)
    )
)</f>
        <v>SpoIIIAG</v>
      </c>
      <c r="G122" t="str">
        <f t="shared" si="1"/>
        <v>Alkalihalobacillus</v>
      </c>
    </row>
    <row r="123" spans="1:7" x14ac:dyDescent="0.2">
      <c r="A123" t="s">
        <v>127</v>
      </c>
      <c r="B123" t="s">
        <v>567</v>
      </c>
      <c r="C123" t="s">
        <v>700</v>
      </c>
      <c r="D123" t="str" cm="1">
        <f t="array" ref="D123">_xlfn.LET(
    _xlpm.searchText, B123,
    _xlpm.matchIndex, MATCH(TRUE, INDEX(ISNUMBER(SEARCH(E:E, _xlpm.searchText)), 0), 0),
    IF(ISNA(_xlpm.matchIndex), "",
       INDEX(F:F, _xlpm.matchIndex)
    )
)</f>
        <v>SpoIIIAG</v>
      </c>
      <c r="G123" t="str">
        <f t="shared" si="1"/>
        <v>Paenibacillus</v>
      </c>
    </row>
    <row r="124" spans="1:7" x14ac:dyDescent="0.2">
      <c r="A124" t="s">
        <v>128</v>
      </c>
      <c r="B124" t="s">
        <v>567</v>
      </c>
      <c r="C124" t="s">
        <v>701</v>
      </c>
      <c r="D124" t="str" cm="1">
        <f t="array" ref="D124">_xlfn.LET(
    _xlpm.searchText, B124,
    _xlpm.matchIndex, MATCH(TRUE, INDEX(ISNUMBER(SEARCH(E:E, _xlpm.searchText)), 0), 0),
    IF(ISNA(_xlpm.matchIndex), "",
       INDEX(F:F, _xlpm.matchIndex)
    )
)</f>
        <v>SpoIIIAG</v>
      </c>
      <c r="G124" t="str">
        <f t="shared" si="1"/>
        <v>Weizmannia</v>
      </c>
    </row>
    <row r="125" spans="1:7" x14ac:dyDescent="0.2">
      <c r="A125" t="s">
        <v>129</v>
      </c>
      <c r="B125" t="s">
        <v>577</v>
      </c>
      <c r="C125" t="s">
        <v>702</v>
      </c>
      <c r="D125" t="str" cm="1">
        <f t="array" ref="D125">_xlfn.LET(
    _xlpm.searchText, B125,
    _xlpm.matchIndex, MATCH(TRUE, INDEX(ISNUMBER(SEARCH(E:E, _xlpm.searchText)), 0), 0),
    IF(ISNA(_xlpm.matchIndex), "",
       INDEX(F:F, _xlpm.matchIndex)
    )
)</f>
        <v>SpoIIIAG</v>
      </c>
      <c r="G125" t="str">
        <f t="shared" si="1"/>
        <v>Clostridium</v>
      </c>
    </row>
    <row r="126" spans="1:7" x14ac:dyDescent="0.2">
      <c r="A126" t="s">
        <v>130</v>
      </c>
      <c r="B126" t="s">
        <v>567</v>
      </c>
      <c r="C126" t="s">
        <v>703</v>
      </c>
      <c r="D126" t="str" cm="1">
        <f t="array" ref="D126">_xlfn.LET(
    _xlpm.searchText, B126,
    _xlpm.matchIndex, MATCH(TRUE, INDEX(ISNUMBER(SEARCH(E:E, _xlpm.searchText)), 0), 0),
    IF(ISNA(_xlpm.matchIndex), "",
       INDEX(F:F, _xlpm.matchIndex)
    )
)</f>
        <v>SpoIIIAG</v>
      </c>
      <c r="G126" t="str">
        <f t="shared" si="1"/>
        <v>Limnochorda</v>
      </c>
    </row>
    <row r="127" spans="1:7" x14ac:dyDescent="0.2">
      <c r="A127" t="s">
        <v>131</v>
      </c>
      <c r="B127" t="s">
        <v>578</v>
      </c>
      <c r="C127" t="s">
        <v>704</v>
      </c>
      <c r="D127" t="str" cm="1">
        <f t="array" ref="D127">_xlfn.LET(
    _xlpm.searchText, B127,
    _xlpm.matchIndex, MATCH(TRUE, INDEX(ISNUMBER(SEARCH(E:E, _xlpm.searchText)), 0), 0),
    IF(ISNA(_xlpm.matchIndex), "",
       INDEX(F:F, _xlpm.matchIndex)
    )
)</f>
        <v>hypothetical</v>
      </c>
      <c r="G127" t="str">
        <f t="shared" si="1"/>
        <v>Moorella</v>
      </c>
    </row>
    <row r="128" spans="1:7" x14ac:dyDescent="0.2">
      <c r="A128" t="s">
        <v>132</v>
      </c>
      <c r="B128" t="s">
        <v>579</v>
      </c>
      <c r="C128" t="s">
        <v>705</v>
      </c>
      <c r="D128" t="str" cm="1">
        <f t="array" ref="D128">_xlfn.LET(
    _xlpm.searchText, B128,
    _xlpm.matchIndex, MATCH(TRUE, INDEX(ISNUMBER(SEARCH(E:E, _xlpm.searchText)), 0), 0),
    IF(ISNA(_xlpm.matchIndex), "",
       INDEX(F:F, _xlpm.matchIndex)
    )
)</f>
        <v>hypothetical</v>
      </c>
      <c r="G128" t="str">
        <f t="shared" si="1"/>
        <v>Natranaerobius</v>
      </c>
    </row>
    <row r="129" spans="1:7" x14ac:dyDescent="0.2">
      <c r="A129" t="s">
        <v>133</v>
      </c>
      <c r="B129" t="s">
        <v>567</v>
      </c>
      <c r="C129" t="s">
        <v>706</v>
      </c>
      <c r="D129" t="str" cm="1">
        <f t="array" ref="D129">_xlfn.LET(
    _xlpm.searchText, B129,
    _xlpm.matchIndex, MATCH(TRUE, INDEX(ISNUMBER(SEARCH(E:E, _xlpm.searchText)), 0), 0),
    IF(ISNA(_xlpm.matchIndex), "",
       INDEX(F:F, _xlpm.matchIndex)
    )
)</f>
        <v>SpoIIIAG</v>
      </c>
      <c r="G129" t="str">
        <f t="shared" si="1"/>
        <v>Brevibacillus</v>
      </c>
    </row>
    <row r="130" spans="1:7" x14ac:dyDescent="0.2">
      <c r="A130" t="s">
        <v>134</v>
      </c>
      <c r="B130" t="s">
        <v>567</v>
      </c>
      <c r="C130" t="s">
        <v>707</v>
      </c>
      <c r="D130" t="str" cm="1">
        <f t="array" ref="D130">_xlfn.LET(
    _xlpm.searchText, B130,
    _xlpm.matchIndex, MATCH(TRUE, INDEX(ISNUMBER(SEARCH(E:E, _xlpm.searchText)), 0), 0),
    IF(ISNA(_xlpm.matchIndex), "",
       INDEX(F:F, _xlpm.matchIndex)
    )
)</f>
        <v>SpoIIIAG</v>
      </c>
      <c r="G130" t="str">
        <f t="shared" si="1"/>
        <v>Monoglobus</v>
      </c>
    </row>
    <row r="131" spans="1:7" x14ac:dyDescent="0.2">
      <c r="A131" t="s">
        <v>135</v>
      </c>
      <c r="B131" t="s">
        <v>572</v>
      </c>
      <c r="C131" t="s">
        <v>708</v>
      </c>
      <c r="D131" t="str" cm="1">
        <f t="array" ref="D131">_xlfn.LET(
    _xlpm.searchText, B131,
    _xlpm.matchIndex, MATCH(TRUE, INDEX(ISNUMBER(SEARCH(E:E, _xlpm.searchText)), 0), 0),
    IF(ISNA(_xlpm.matchIndex), "",
       INDEX(F:F, _xlpm.matchIndex)
    )
)</f>
        <v>SpoIIIAG</v>
      </c>
      <c r="G131" t="str">
        <f t="shared" si="1"/>
        <v>Tissierella</v>
      </c>
    </row>
    <row r="132" spans="1:7" x14ac:dyDescent="0.2">
      <c r="A132" t="s">
        <v>136</v>
      </c>
      <c r="B132" t="s">
        <v>567</v>
      </c>
      <c r="C132" t="s">
        <v>709</v>
      </c>
      <c r="D132" t="str" cm="1">
        <f t="array" ref="D132">_xlfn.LET(
    _xlpm.searchText, B132,
    _xlpm.matchIndex, MATCH(TRUE, INDEX(ISNUMBER(SEARCH(E:E, _xlpm.searchText)), 0), 0),
    IF(ISNA(_xlpm.matchIndex), "",
       INDEX(F:F, _xlpm.matchIndex)
    )
)</f>
        <v>SpoIIIAG</v>
      </c>
      <c r="G132" t="str">
        <f t="shared" ref="G132:G195" si="2">IFERROR(_xlfn.TEXTBEFORE(C132, " "), C132)</f>
        <v>Alkalicella</v>
      </c>
    </row>
    <row r="133" spans="1:7" x14ac:dyDescent="0.2">
      <c r="A133" t="s">
        <v>137</v>
      </c>
      <c r="B133" t="s">
        <v>580</v>
      </c>
      <c r="C133" t="s">
        <v>710</v>
      </c>
      <c r="D133" t="str" cm="1">
        <f t="array" ref="D133">_xlfn.LET(
    _xlpm.searchText, B133,
    _xlpm.matchIndex, MATCH(TRUE, INDEX(ISNUMBER(SEARCH(E:E, _xlpm.searchText)), 0), 0),
    IF(ISNA(_xlpm.matchIndex), "",
       INDEX(F:F, _xlpm.matchIndex)
    )
)</f>
        <v>SpoIIIAG</v>
      </c>
      <c r="G133" t="str">
        <f t="shared" si="2"/>
        <v>Natranaerofaba</v>
      </c>
    </row>
    <row r="134" spans="1:7" x14ac:dyDescent="0.2">
      <c r="A134" t="s">
        <v>138</v>
      </c>
      <c r="B134" t="s">
        <v>567</v>
      </c>
      <c r="C134" t="s">
        <v>711</v>
      </c>
      <c r="D134" t="str" cm="1">
        <f t="array" ref="D134">_xlfn.LET(
    _xlpm.searchText, B134,
    _xlpm.matchIndex, MATCH(TRUE, INDEX(ISNUMBER(SEARCH(E:E, _xlpm.searchText)), 0), 0),
    IF(ISNA(_xlpm.matchIndex), "",
       INDEX(F:F, _xlpm.matchIndex)
    )
)</f>
        <v>SpoIIIAG</v>
      </c>
      <c r="G134" t="str">
        <f t="shared" si="2"/>
        <v>Candidatus</v>
      </c>
    </row>
    <row r="135" spans="1:7" x14ac:dyDescent="0.2">
      <c r="A135" t="s">
        <v>139</v>
      </c>
      <c r="B135" t="s">
        <v>581</v>
      </c>
      <c r="C135" t="s">
        <v>712</v>
      </c>
      <c r="D135" t="str" cm="1">
        <f t="array" ref="D135">_xlfn.LET(
    _xlpm.searchText, B135,
    _xlpm.matchIndex, MATCH(TRUE, INDEX(ISNUMBER(SEARCH(E:E, _xlpm.searchText)), 0), 0),
    IF(ISNA(_xlpm.matchIndex), "",
       INDEX(F:F, _xlpm.matchIndex)
    )
)</f>
        <v>hypothetical</v>
      </c>
      <c r="G135" t="str">
        <f t="shared" si="2"/>
        <v>Anaerovorax</v>
      </c>
    </row>
    <row r="136" spans="1:7" x14ac:dyDescent="0.2">
      <c r="A136" t="s">
        <v>140</v>
      </c>
      <c r="B136" t="s">
        <v>567</v>
      </c>
      <c r="C136" t="s">
        <v>713</v>
      </c>
      <c r="D136" t="str" cm="1">
        <f t="array" ref="D136">_xlfn.LET(
    _xlpm.searchText, B136,
    _xlpm.matchIndex, MATCH(TRUE, INDEX(ISNUMBER(SEARCH(E:E, _xlpm.searchText)), 0), 0),
    IF(ISNA(_xlpm.matchIndex), "",
       INDEX(F:F, _xlpm.matchIndex)
    )
)</f>
        <v>SpoIIIAG</v>
      </c>
      <c r="G136" t="str">
        <f t="shared" si="2"/>
        <v>Anaerobranca</v>
      </c>
    </row>
    <row r="137" spans="1:7" x14ac:dyDescent="0.2">
      <c r="A137" t="s">
        <v>141</v>
      </c>
      <c r="B137" t="s">
        <v>547</v>
      </c>
      <c r="C137" t="s">
        <v>714</v>
      </c>
      <c r="D137" t="str" cm="1">
        <f t="array" ref="D137">_xlfn.LET(
    _xlpm.searchText, B137,
    _xlpm.matchIndex, MATCH(TRUE, INDEX(ISNUMBER(SEARCH(E:E, _xlpm.searchText)), 0), 0),
    IF(ISNA(_xlpm.matchIndex), "",
       INDEX(F:F, _xlpm.matchIndex)
    )
)</f>
        <v>hypothetical</v>
      </c>
      <c r="G137" t="str">
        <f t="shared" si="2"/>
        <v>Epulopiscium</v>
      </c>
    </row>
    <row r="138" spans="1:7" x14ac:dyDescent="0.2">
      <c r="A138" t="s">
        <v>142</v>
      </c>
      <c r="B138" t="s">
        <v>567</v>
      </c>
      <c r="C138" t="s">
        <v>715</v>
      </c>
      <c r="D138" t="str" cm="1">
        <f t="array" ref="D138">_xlfn.LET(
    _xlpm.searchText, B138,
    _xlpm.matchIndex, MATCH(TRUE, INDEX(ISNUMBER(SEARCH(E:E, _xlpm.searchText)), 0), 0),
    IF(ISNA(_xlpm.matchIndex), "",
       INDEX(F:F, _xlpm.matchIndex)
    )
)</f>
        <v>SpoIIIAG</v>
      </c>
      <c r="G138" t="str">
        <f t="shared" si="2"/>
        <v>Alkalihalobacillus</v>
      </c>
    </row>
    <row r="139" spans="1:7" x14ac:dyDescent="0.2">
      <c r="A139" t="s">
        <v>143</v>
      </c>
      <c r="B139" t="s">
        <v>582</v>
      </c>
      <c r="C139" t="s">
        <v>683</v>
      </c>
      <c r="D139" t="str" cm="1">
        <f t="array" ref="D139">_xlfn.LET(
    _xlpm.searchText, B139,
    _xlpm.matchIndex, MATCH(TRUE, INDEX(ISNUMBER(SEARCH(E:E, _xlpm.searchText)), 0), 0),
    IF(ISNA(_xlpm.matchIndex), "",
       INDEX(F:F, _xlpm.matchIndex)
    )
)</f>
        <v>FliF</v>
      </c>
      <c r="G139" t="str">
        <f t="shared" si="2"/>
        <v>Clostridium</v>
      </c>
    </row>
    <row r="140" spans="1:7" x14ac:dyDescent="0.2">
      <c r="A140" t="s">
        <v>145</v>
      </c>
      <c r="B140" t="s">
        <v>582</v>
      </c>
      <c r="C140" t="s">
        <v>727</v>
      </c>
      <c r="D140" t="str" cm="1">
        <f t="array" ref="D140">_xlfn.LET(
    _xlpm.searchText, B140,
    _xlpm.matchIndex, MATCH(TRUE, INDEX(ISNUMBER(SEARCH(E:E, _xlpm.searchText)), 0), 0),
    IF(ISNA(_xlpm.matchIndex), "",
       INDEX(F:F, _xlpm.matchIndex)
    )
)</f>
        <v>FliF</v>
      </c>
      <c r="G140" t="str">
        <f t="shared" si="2"/>
        <v>Lysinibacillus</v>
      </c>
    </row>
    <row r="141" spans="1:7" x14ac:dyDescent="0.2">
      <c r="A141" t="s">
        <v>146</v>
      </c>
      <c r="B141" t="s">
        <v>583</v>
      </c>
      <c r="C141" t="s">
        <v>720</v>
      </c>
      <c r="D141" t="str" cm="1">
        <f t="array" ref="D141">_xlfn.LET(
    _xlpm.searchText, B141,
    _xlpm.matchIndex, MATCH(TRUE, INDEX(ISNUMBER(SEARCH(E:E, _xlpm.searchText)), 0), 0),
    IF(ISNA(_xlpm.matchIndex), "",
       INDEX(F:F, _xlpm.matchIndex)
    )
)</f>
        <v>FliF</v>
      </c>
      <c r="G141" t="str">
        <f t="shared" si="2"/>
        <v>Bacillus</v>
      </c>
    </row>
    <row r="142" spans="1:7" x14ac:dyDescent="0.2">
      <c r="A142" t="s">
        <v>147</v>
      </c>
      <c r="B142" t="s">
        <v>583</v>
      </c>
      <c r="C142" t="s">
        <v>722</v>
      </c>
      <c r="D142" t="str" cm="1">
        <f t="array" ref="D142">_xlfn.LET(
    _xlpm.searchText, B142,
    _xlpm.matchIndex, MATCH(TRUE, INDEX(ISNUMBER(SEARCH(E:E, _xlpm.searchText)), 0), 0),
    IF(ISNA(_xlpm.matchIndex), "",
       INDEX(F:F, _xlpm.matchIndex)
    )
)</f>
        <v>FliF</v>
      </c>
      <c r="G142" t="str">
        <f t="shared" si="2"/>
        <v>Viridibacillus</v>
      </c>
    </row>
    <row r="143" spans="1:7" x14ac:dyDescent="0.2">
      <c r="A143" t="s">
        <v>148</v>
      </c>
      <c r="B143" t="s">
        <v>582</v>
      </c>
      <c r="C143" t="s">
        <v>723</v>
      </c>
      <c r="D143" t="str" cm="1">
        <f t="array" ref="D143">_xlfn.LET(
    _xlpm.searchText, B143,
    _xlpm.matchIndex, MATCH(TRUE, INDEX(ISNUMBER(SEARCH(E:E, _xlpm.searchText)), 0), 0),
    IF(ISNA(_xlpm.matchIndex), "",
       INDEX(F:F, _xlpm.matchIndex)
    )
)</f>
        <v>FliF</v>
      </c>
      <c r="G143" t="str">
        <f t="shared" si="2"/>
        <v>Sporosarcina</v>
      </c>
    </row>
    <row r="144" spans="1:7" x14ac:dyDescent="0.2">
      <c r="A144" t="s">
        <v>149</v>
      </c>
      <c r="B144" t="s">
        <v>583</v>
      </c>
      <c r="C144" t="s">
        <v>748</v>
      </c>
      <c r="D144" t="str" cm="1">
        <f t="array" ref="D144">_xlfn.LET(
    _xlpm.searchText, B144,
    _xlpm.matchIndex, MATCH(TRUE, INDEX(ISNUMBER(SEARCH(E:E, _xlpm.searchText)), 0), 0),
    IF(ISNA(_xlpm.matchIndex), "",
       INDEX(F:F, _xlpm.matchIndex)
    )
)</f>
        <v>FliF</v>
      </c>
      <c r="G144" t="str">
        <f t="shared" si="2"/>
        <v>Ureibacillus</v>
      </c>
    </row>
    <row r="145" spans="1:7" x14ac:dyDescent="0.2">
      <c r="A145" t="s">
        <v>150</v>
      </c>
      <c r="B145" t="s">
        <v>582</v>
      </c>
      <c r="C145" t="s">
        <v>727</v>
      </c>
      <c r="D145" t="str" cm="1">
        <f t="array" ref="D145">_xlfn.LET(
    _xlpm.searchText, B145,
    _xlpm.matchIndex, MATCH(TRUE, INDEX(ISNUMBER(SEARCH(E:E, _xlpm.searchText)), 0), 0),
    IF(ISNA(_xlpm.matchIndex), "",
       INDEX(F:F, _xlpm.matchIndex)
    )
)</f>
        <v>FliF</v>
      </c>
      <c r="G145" t="str">
        <f t="shared" si="2"/>
        <v>Lysinibacillus</v>
      </c>
    </row>
    <row r="146" spans="1:7" x14ac:dyDescent="0.2">
      <c r="A146" t="s">
        <v>151</v>
      </c>
      <c r="B146" t="s">
        <v>582</v>
      </c>
      <c r="C146" t="s">
        <v>728</v>
      </c>
      <c r="D146" t="str" cm="1">
        <f t="array" ref="D146">_xlfn.LET(
    _xlpm.searchText, B146,
    _xlpm.matchIndex, MATCH(TRUE, INDEX(ISNUMBER(SEARCH(E:E, _xlpm.searchText)), 0), 0),
    IF(ISNA(_xlpm.matchIndex), "",
       INDEX(F:F, _xlpm.matchIndex)
    )
)</f>
        <v>FliF</v>
      </c>
      <c r="G146" t="str">
        <f t="shared" si="2"/>
        <v>Metasolibacillus</v>
      </c>
    </row>
    <row r="147" spans="1:7" x14ac:dyDescent="0.2">
      <c r="A147" t="s">
        <v>152</v>
      </c>
      <c r="B147" t="s">
        <v>582</v>
      </c>
      <c r="C147" t="s">
        <v>732</v>
      </c>
      <c r="D147" t="str" cm="1">
        <f t="array" ref="D147">_xlfn.LET(
    _xlpm.searchText, B147,
    _xlpm.matchIndex, MATCH(TRUE, INDEX(ISNUMBER(SEARCH(E:E, _xlpm.searchText)), 0), 0),
    IF(ISNA(_xlpm.matchIndex), "",
       INDEX(F:F, _xlpm.matchIndex)
    )
)</f>
        <v>FliF</v>
      </c>
      <c r="G147" t="str">
        <f t="shared" si="2"/>
        <v>Psychrobacillus</v>
      </c>
    </row>
    <row r="148" spans="1:7" x14ac:dyDescent="0.2">
      <c r="A148" t="s">
        <v>153</v>
      </c>
      <c r="B148" t="s">
        <v>583</v>
      </c>
      <c r="C148" t="s">
        <v>733</v>
      </c>
      <c r="D148" t="str" cm="1">
        <f t="array" ref="D148">_xlfn.LET(
    _xlpm.searchText, B148,
    _xlpm.matchIndex, MATCH(TRUE, INDEX(ISNUMBER(SEARCH(E:E, _xlpm.searchText)), 0), 0),
    IF(ISNA(_xlpm.matchIndex), "",
       INDEX(F:F, _xlpm.matchIndex)
    )
)</f>
        <v>FliF</v>
      </c>
      <c r="G148" t="str">
        <f t="shared" si="2"/>
        <v>Psychrobacillus</v>
      </c>
    </row>
    <row r="149" spans="1:7" x14ac:dyDescent="0.2">
      <c r="A149" t="s">
        <v>154</v>
      </c>
      <c r="B149" t="s">
        <v>584</v>
      </c>
      <c r="C149" t="s">
        <v>684</v>
      </c>
      <c r="D149" t="str" cm="1">
        <f t="array" ref="D149">_xlfn.LET(
    _xlpm.searchText, B149,
    _xlpm.matchIndex, MATCH(TRUE, INDEX(ISNUMBER(SEARCH(E:E, _xlpm.searchText)), 0), 0),
    IF(ISNA(_xlpm.matchIndex), "",
       INDEX(F:F, _xlpm.matchIndex)
    )
)</f>
        <v>FliF</v>
      </c>
      <c r="G149" t="str">
        <f t="shared" si="2"/>
        <v>Alkalihalophilus</v>
      </c>
    </row>
    <row r="150" spans="1:7" x14ac:dyDescent="0.2">
      <c r="A150" t="s">
        <v>156</v>
      </c>
      <c r="B150" t="s">
        <v>585</v>
      </c>
      <c r="C150" t="s">
        <v>749</v>
      </c>
      <c r="D150" t="str" cm="1">
        <f t="array" ref="D150">_xlfn.LET(
    _xlpm.searchText, B150,
    _xlpm.matchIndex, MATCH(TRUE, INDEX(ISNUMBER(SEARCH(E:E, _xlpm.searchText)), 0), 0),
    IF(ISNA(_xlpm.matchIndex), "",
       INDEX(F:F, _xlpm.matchIndex)
    )
)</f>
        <v>FliF</v>
      </c>
      <c r="G150" t="str">
        <f t="shared" si="2"/>
        <v>Escherichia</v>
      </c>
    </row>
    <row r="151" spans="1:7" x14ac:dyDescent="0.2">
      <c r="A151" t="s">
        <v>157</v>
      </c>
      <c r="B151" t="s">
        <v>586</v>
      </c>
      <c r="C151" t="s">
        <v>750</v>
      </c>
      <c r="D151" t="str" cm="1">
        <f t="array" ref="D151">_xlfn.LET(
    _xlpm.searchText, B151,
    _xlpm.matchIndex, MATCH(TRUE, INDEX(ISNUMBER(SEARCH(E:E, _xlpm.searchText)), 0), 0),
    IF(ISNA(_xlpm.matchIndex), "",
       INDEX(F:F, _xlpm.matchIndex)
    )
)</f>
        <v>FliF</v>
      </c>
      <c r="G151" t="str">
        <f t="shared" si="2"/>
        <v>Pseudomonas</v>
      </c>
    </row>
    <row r="152" spans="1:7" x14ac:dyDescent="0.2">
      <c r="A152" t="s">
        <v>159</v>
      </c>
      <c r="B152" t="s">
        <v>587</v>
      </c>
      <c r="C152" t="s">
        <v>750</v>
      </c>
      <c r="D152" t="str" cm="1">
        <f t="array" ref="D152">_xlfn.LET(
    _xlpm.searchText, B152,
    _xlpm.matchIndex, MATCH(TRUE, INDEX(ISNUMBER(SEARCH(E:E, _xlpm.searchText)), 0), 0),
    IF(ISNA(_xlpm.matchIndex), "",
       INDEX(F:F, _xlpm.matchIndex)
    )
)</f>
        <v>T3SS</v>
      </c>
      <c r="G152" t="str">
        <f t="shared" si="2"/>
        <v>Pseudomonas</v>
      </c>
    </row>
    <row r="153" spans="1:7" x14ac:dyDescent="0.2">
      <c r="A153" t="s">
        <v>160</v>
      </c>
      <c r="B153" t="s">
        <v>588</v>
      </c>
      <c r="C153" t="s">
        <v>751</v>
      </c>
      <c r="D153" t="str" cm="1">
        <f t="array" ref="D153">_xlfn.LET(
    _xlpm.searchText, B153,
    _xlpm.matchIndex, MATCH(TRUE, INDEX(ISNUMBER(SEARCH(E:E, _xlpm.searchText)), 0), 0),
    IF(ISNA(_xlpm.matchIndex), "",
       INDEX(F:F, _xlpm.matchIndex)
    )
)</f>
        <v>Secretion</v>
      </c>
      <c r="G153" t="str">
        <f t="shared" si="2"/>
        <v>Salmonella</v>
      </c>
    </row>
    <row r="154" spans="1:7" x14ac:dyDescent="0.2">
      <c r="A154" t="s">
        <v>161</v>
      </c>
      <c r="B154" t="s">
        <v>589</v>
      </c>
      <c r="C154" t="s">
        <v>751</v>
      </c>
      <c r="D154" t="str" cm="1">
        <f t="array" ref="D154">_xlfn.LET(
    _xlpm.searchText, B154,
    _xlpm.matchIndex, MATCH(TRUE, INDEX(ISNUMBER(SEARCH(E:E, _xlpm.searchText)), 0), 0),
    IF(ISNA(_xlpm.matchIndex), "",
       INDEX(F:F, _xlpm.matchIndex)
    )
)</f>
        <v>FliF</v>
      </c>
      <c r="G154" t="str">
        <f t="shared" si="2"/>
        <v>Salmonella</v>
      </c>
    </row>
    <row r="155" spans="1:7" x14ac:dyDescent="0.2">
      <c r="A155" t="s">
        <v>162</v>
      </c>
      <c r="B155" t="s">
        <v>590</v>
      </c>
      <c r="C155" t="s">
        <v>751</v>
      </c>
      <c r="D155" t="str" cm="1">
        <f t="array" ref="D155">_xlfn.LET(
    _xlpm.searchText, B155,
    _xlpm.matchIndex, MATCH(TRUE, INDEX(ISNUMBER(SEARCH(E:E, _xlpm.searchText)), 0), 0),
    IF(ISNA(_xlpm.matchIndex), "",
       INDEX(F:F, _xlpm.matchIndex)
    )
)</f>
        <v>Cell_invasion</v>
      </c>
      <c r="G155" t="str">
        <f t="shared" si="2"/>
        <v>Salmonella</v>
      </c>
    </row>
    <row r="156" spans="1:7" x14ac:dyDescent="0.2">
      <c r="A156" t="s">
        <v>163</v>
      </c>
      <c r="B156" t="s">
        <v>591</v>
      </c>
      <c r="C156" t="s">
        <v>752</v>
      </c>
      <c r="D156" t="str" cm="1">
        <f t="array" ref="D156">_xlfn.LET(
    _xlpm.searchText, B156,
    _xlpm.matchIndex, MATCH(TRUE, INDEX(ISNUMBER(SEARCH(E:E, _xlpm.searchText)), 0), 0),
    IF(ISNA(_xlpm.matchIndex), "",
       INDEX(F:F, _xlpm.matchIndex)
    )
)</f>
        <v>FliF</v>
      </c>
      <c r="G156" t="str">
        <f t="shared" si="2"/>
        <v>Sinorhizobium</v>
      </c>
    </row>
    <row r="157" spans="1:7" x14ac:dyDescent="0.2">
      <c r="A157" t="s">
        <v>165</v>
      </c>
      <c r="B157" t="s">
        <v>592</v>
      </c>
      <c r="C157" t="s">
        <v>753</v>
      </c>
      <c r="D157" t="str" cm="1">
        <f t="array" ref="D157">_xlfn.LET(
    _xlpm.searchText, B157,
    _xlpm.matchIndex, MATCH(TRUE, INDEX(ISNUMBER(SEARCH(E:E, _xlpm.searchText)), 0), 0),
    IF(ISNA(_xlpm.matchIndex), "",
       INDEX(F:F, _xlpm.matchIndex)
    )
)</f>
        <v>T3SS_HrcJ</v>
      </c>
      <c r="G157" t="str">
        <f t="shared" si="2"/>
        <v>Xanthomonas</v>
      </c>
    </row>
    <row r="158" spans="1:7" x14ac:dyDescent="0.2">
      <c r="A158" t="s">
        <v>167</v>
      </c>
      <c r="B158" t="s">
        <v>593</v>
      </c>
      <c r="C158" t="s">
        <v>753</v>
      </c>
      <c r="D158" t="str" cm="1">
        <f t="array" ref="D158">_xlfn.LET(
    _xlpm.searchText, B158,
    _xlpm.matchIndex, MATCH(TRUE, INDEX(ISNUMBER(SEARCH(E:E, _xlpm.searchText)), 0), 0),
    IF(ISNA(_xlpm.matchIndex), "",
       INDEX(F:F, _xlpm.matchIndex)
    )
)</f>
        <v>Flagellar</v>
      </c>
      <c r="G158" t="str">
        <f t="shared" si="2"/>
        <v>Xanthomonas</v>
      </c>
    </row>
    <row r="159" spans="1:7" x14ac:dyDescent="0.2">
      <c r="A159" t="s">
        <v>168</v>
      </c>
      <c r="B159" t="s">
        <v>594</v>
      </c>
      <c r="C159" t="s">
        <v>754</v>
      </c>
      <c r="D159" t="str" cm="1">
        <f t="array" ref="D159">_xlfn.LET(
    _xlpm.searchText, B159,
    _xlpm.matchIndex, MATCH(TRUE, INDEX(ISNUMBER(SEARCH(E:E, _xlpm.searchText)), 0), 0),
    IF(ISNA(_xlpm.matchIndex), "",
       INDEX(F:F, _xlpm.matchIndex)
    )
)</f>
        <v>Secretion</v>
      </c>
      <c r="G159" t="str">
        <f t="shared" si="2"/>
        <v>Chlamydia</v>
      </c>
    </row>
    <row r="160" spans="1:7" x14ac:dyDescent="0.2">
      <c r="A160" t="s">
        <v>169</v>
      </c>
      <c r="B160" t="s">
        <v>595</v>
      </c>
      <c r="C160" t="s">
        <v>755</v>
      </c>
      <c r="D160" t="str" cm="1">
        <f t="array" ref="D160">_xlfn.LET(
    _xlpm.searchText, B160,
    _xlpm.matchIndex, MATCH(TRUE, INDEX(ISNUMBER(SEARCH(E:E, _xlpm.searchText)), 0), 0),
    IF(ISNA(_xlpm.matchIndex), "",
       INDEX(F:F, _xlpm.matchIndex)
    )
)</f>
        <v>FliF</v>
      </c>
      <c r="G160" t="str">
        <f t="shared" si="2"/>
        <v>Buchnera</v>
      </c>
    </row>
    <row r="161" spans="1:7" x14ac:dyDescent="0.2">
      <c r="A161" t="s">
        <v>170</v>
      </c>
      <c r="B161" t="s">
        <v>596</v>
      </c>
      <c r="C161" t="s">
        <v>756</v>
      </c>
      <c r="D161" t="str" cm="1">
        <f t="array" ref="D161">_xlfn.LET(
    _xlpm.searchText, B161,
    _xlpm.matchIndex, MATCH(TRUE, INDEX(ISNUMBER(SEARCH(E:E, _xlpm.searchText)), 0), 0),
    IF(ISNA(_xlpm.matchIndex), "",
       INDEX(F:F, _xlpm.matchIndex)
    )
)</f>
        <v>FliF</v>
      </c>
      <c r="G161" t="str">
        <f t="shared" si="2"/>
        <v>Salmonella</v>
      </c>
    </row>
    <row r="162" spans="1:7" x14ac:dyDescent="0.2">
      <c r="A162" t="s">
        <v>171</v>
      </c>
      <c r="B162" t="s">
        <v>597</v>
      </c>
      <c r="C162" t="s">
        <v>756</v>
      </c>
      <c r="D162" t="str" cm="1">
        <f t="array" ref="D162">_xlfn.LET(
    _xlpm.searchText, B162,
    _xlpm.matchIndex, MATCH(TRUE, INDEX(ISNUMBER(SEARCH(E:E, _xlpm.searchText)), 0), 0),
    IF(ISNA(_xlpm.matchIndex), "",
       INDEX(F:F, _xlpm.matchIndex)
    )
)</f>
        <v>Lipoprotein</v>
      </c>
      <c r="G162" t="str">
        <f t="shared" si="2"/>
        <v>Salmonella</v>
      </c>
    </row>
    <row r="163" spans="1:7" x14ac:dyDescent="0.2">
      <c r="A163" t="s">
        <v>172</v>
      </c>
      <c r="B163" t="s">
        <v>598</v>
      </c>
      <c r="C163" t="s">
        <v>756</v>
      </c>
      <c r="D163" t="str" cm="1">
        <f t="array" ref="D163">_xlfn.LET(
    _xlpm.searchText, B163,
    _xlpm.matchIndex, MATCH(TRUE, INDEX(ISNUMBER(SEARCH(E:E, _xlpm.searchText)), 0), 0),
    IF(ISNA(_xlpm.matchIndex), "",
       INDEX(F:F, _xlpm.matchIndex)
    )
)</f>
        <v>Pathogenecity_Island</v>
      </c>
      <c r="G163" t="str">
        <f t="shared" si="2"/>
        <v>Salmonella</v>
      </c>
    </row>
    <row r="164" spans="1:7" x14ac:dyDescent="0.2">
      <c r="A164" t="s">
        <v>173</v>
      </c>
      <c r="B164" t="s">
        <v>599</v>
      </c>
      <c r="C164" t="s">
        <v>685</v>
      </c>
      <c r="D164" t="str" cm="1">
        <f t="array" ref="D164">_xlfn.LET(
    _xlpm.searchText, B164,
    _xlpm.matchIndex, MATCH(TRUE, INDEX(ISNUMBER(SEARCH(E:E, _xlpm.searchText)), 0), 0),
    IF(ISNA(_xlpm.matchIndex), "",
       INDEX(F:F, _xlpm.matchIndex)
    )
)</f>
        <v>FliF</v>
      </c>
      <c r="G164" t="str">
        <f t="shared" si="2"/>
        <v>Clostridium</v>
      </c>
    </row>
    <row r="165" spans="1:7" x14ac:dyDescent="0.2">
      <c r="A165" t="s">
        <v>174</v>
      </c>
      <c r="B165" t="s">
        <v>600</v>
      </c>
      <c r="C165" t="s">
        <v>757</v>
      </c>
      <c r="D165" t="str" cm="1">
        <f t="array" ref="D165">_xlfn.LET(
    _xlpm.searchText, B165,
    _xlpm.matchIndex, MATCH(TRUE, INDEX(ISNUMBER(SEARCH(E:E, _xlpm.searchText)), 0), 0),
    IF(ISNA(_xlpm.matchIndex), "",
       INDEX(F:F, _xlpm.matchIndex)
    )
)</f>
        <v>FliF</v>
      </c>
      <c r="G165" t="str">
        <f t="shared" si="2"/>
        <v>Leptospira</v>
      </c>
    </row>
    <row r="166" spans="1:7" x14ac:dyDescent="0.2">
      <c r="A166" t="s">
        <v>175</v>
      </c>
      <c r="B166" t="s">
        <v>590</v>
      </c>
      <c r="C166" t="s">
        <v>758</v>
      </c>
      <c r="D166" t="str" cm="1">
        <f t="array" ref="D166">_xlfn.LET(
    _xlpm.searchText, B166,
    _xlpm.matchIndex, MATCH(TRUE, INDEX(ISNUMBER(SEARCH(E:E, _xlpm.searchText)), 0), 0),
    IF(ISNA(_xlpm.matchIndex), "",
       INDEX(F:F, _xlpm.matchIndex)
    )
)</f>
        <v>Cell_invasion</v>
      </c>
      <c r="G166" t="str">
        <f t="shared" si="2"/>
        <v>Chromobacterium</v>
      </c>
    </row>
    <row r="167" spans="1:7" x14ac:dyDescent="0.2">
      <c r="A167" t="s">
        <v>176</v>
      </c>
      <c r="B167" t="s">
        <v>601</v>
      </c>
      <c r="C167" t="s">
        <v>758</v>
      </c>
      <c r="D167" t="str" cm="1">
        <f t="array" ref="D167">_xlfn.LET(
    _xlpm.searchText, B167,
    _xlpm.matchIndex, MATCH(TRUE, INDEX(ISNUMBER(SEARCH(E:E, _xlpm.searchText)), 0), 0),
    IF(ISNA(_xlpm.matchIndex), "",
       INDEX(F:F, _xlpm.matchIndex)
    )
)</f>
        <v>T3SS</v>
      </c>
      <c r="G167" t="str">
        <f t="shared" si="2"/>
        <v>Chromobacterium</v>
      </c>
    </row>
    <row r="168" spans="1:7" x14ac:dyDescent="0.2">
      <c r="A168" t="s">
        <v>177</v>
      </c>
      <c r="B168" t="s">
        <v>595</v>
      </c>
      <c r="C168" t="s">
        <v>758</v>
      </c>
      <c r="D168" t="str" cm="1">
        <f t="array" ref="D168">_xlfn.LET(
    _xlpm.searchText, B168,
    _xlpm.matchIndex, MATCH(TRUE, INDEX(ISNUMBER(SEARCH(E:E, _xlpm.searchText)), 0), 0),
    IF(ISNA(_xlpm.matchIndex), "",
       INDEX(F:F, _xlpm.matchIndex)
    )
)</f>
        <v>FliF</v>
      </c>
      <c r="G168" t="str">
        <f t="shared" si="2"/>
        <v>Chromobacterium</v>
      </c>
    </row>
    <row r="169" spans="1:7" x14ac:dyDescent="0.2">
      <c r="A169" t="s">
        <v>178</v>
      </c>
      <c r="B169" t="s">
        <v>595</v>
      </c>
      <c r="C169" t="s">
        <v>758</v>
      </c>
      <c r="D169" t="str" cm="1">
        <f t="array" ref="D169">_xlfn.LET(
    _xlpm.searchText, B169,
    _xlpm.matchIndex, MATCH(TRUE, INDEX(ISNUMBER(SEARCH(E:E, _xlpm.searchText)), 0), 0),
    IF(ISNA(_xlpm.matchIndex), "",
       INDEX(F:F, _xlpm.matchIndex)
    )
)</f>
        <v>FliF</v>
      </c>
      <c r="G169" t="str">
        <f t="shared" si="2"/>
        <v>Chromobacterium</v>
      </c>
    </row>
    <row r="170" spans="1:7" x14ac:dyDescent="0.2">
      <c r="A170" t="s">
        <v>179</v>
      </c>
      <c r="B170" t="s">
        <v>602</v>
      </c>
      <c r="C170" t="s">
        <v>759</v>
      </c>
      <c r="D170" t="str" cm="1">
        <f t="array" ref="D170">_xlfn.LET(
    _xlpm.searchText, B170,
    _xlpm.matchIndex, MATCH(TRUE, INDEX(ISNUMBER(SEARCH(E:E, _xlpm.searchText)), 0), 0),
    IF(ISNA(_xlpm.matchIndex), "",
       INDEX(F:F, _xlpm.matchIndex)
    )
)</f>
        <v>FliF</v>
      </c>
      <c r="G170" t="str">
        <f t="shared" si="2"/>
        <v>Geobacter</v>
      </c>
    </row>
    <row r="171" spans="1:7" x14ac:dyDescent="0.2">
      <c r="A171" t="s">
        <v>180</v>
      </c>
      <c r="B171" t="s">
        <v>595</v>
      </c>
      <c r="C171" t="s">
        <v>686</v>
      </c>
      <c r="D171" t="str" cm="1">
        <f t="array" ref="D171">_xlfn.LET(
    _xlpm.searchText, B171,
    _xlpm.matchIndex, MATCH(TRUE, INDEX(ISNUMBER(SEARCH(E:E, _xlpm.searchText)), 0), 0),
    IF(ISNA(_xlpm.matchIndex), "",
       INDEX(F:F, _xlpm.matchIndex)
    )
)</f>
        <v>FliF</v>
      </c>
      <c r="G171" t="str">
        <f t="shared" si="2"/>
        <v>Bacillus</v>
      </c>
    </row>
    <row r="172" spans="1:7" x14ac:dyDescent="0.2">
      <c r="A172" t="s">
        <v>181</v>
      </c>
      <c r="B172" t="s">
        <v>603</v>
      </c>
      <c r="C172" t="s">
        <v>687</v>
      </c>
      <c r="D172" t="str" cm="1">
        <f t="array" ref="D172">_xlfn.LET(
    _xlpm.searchText, B172,
    _xlpm.matchIndex, MATCH(TRUE, INDEX(ISNUMBER(SEARCH(E:E, _xlpm.searchText)), 0), 0),
    IF(ISNA(_xlpm.matchIndex), "",
       INDEX(F:F, _xlpm.matchIndex)
    )
)</f>
        <v>FliF</v>
      </c>
      <c r="G172" t="str">
        <f t="shared" si="2"/>
        <v>Bacillus</v>
      </c>
    </row>
    <row r="173" spans="1:7" x14ac:dyDescent="0.2">
      <c r="A173" t="s">
        <v>182</v>
      </c>
      <c r="B173" t="s">
        <v>604</v>
      </c>
      <c r="C173" t="s">
        <v>760</v>
      </c>
      <c r="D173" t="str" cm="1">
        <f t="array" ref="D173">_xlfn.LET(
    _xlpm.searchText, B173,
    _xlpm.matchIndex, MATCH(TRUE, INDEX(ISNUMBER(SEARCH(E:E, _xlpm.searchText)), 0), 0),
    IF(ISNA(_xlpm.matchIndex), "",
       INDEX(F:F, _xlpm.matchIndex)
    )
)</f>
        <v>FliF</v>
      </c>
      <c r="G173" t="str">
        <f t="shared" si="2"/>
        <v>Idiomarina</v>
      </c>
    </row>
    <row r="174" spans="1:7" x14ac:dyDescent="0.2">
      <c r="A174" t="s">
        <v>183</v>
      </c>
      <c r="B174" t="s">
        <v>595</v>
      </c>
      <c r="C174" t="s">
        <v>761</v>
      </c>
      <c r="D174" t="str" cm="1">
        <f t="array" ref="D174">_xlfn.LET(
    _xlpm.searchText, B174,
    _xlpm.matchIndex, MATCH(TRUE, INDEX(ISNUMBER(SEARCH(E:E, _xlpm.searchText)), 0), 0),
    IF(ISNA(_xlpm.matchIndex), "",
       INDEX(F:F, _xlpm.matchIndex)
    )
)</f>
        <v>FliF</v>
      </c>
      <c r="G174" t="str">
        <f t="shared" si="2"/>
        <v>Thermotoga</v>
      </c>
    </row>
    <row r="175" spans="1:7" x14ac:dyDescent="0.2">
      <c r="A175" t="s">
        <v>184</v>
      </c>
      <c r="B175" t="s">
        <v>605</v>
      </c>
      <c r="C175" t="s">
        <v>762</v>
      </c>
      <c r="D175" t="str" cm="1">
        <f t="array" ref="D175">_xlfn.LET(
    _xlpm.searchText, B175,
    _xlpm.matchIndex, MATCH(TRUE, INDEX(ISNUMBER(SEARCH(E:E, _xlpm.searchText)), 0), 0),
    IF(ISNA(_xlpm.matchIndex), "",
       INDEX(F:F, _xlpm.matchIndex)
    )
)</f>
        <v>FliF</v>
      </c>
      <c r="G175" t="str">
        <f t="shared" si="2"/>
        <v>Aquifex</v>
      </c>
    </row>
    <row r="176" spans="1:7" x14ac:dyDescent="0.2">
      <c r="A176" t="s">
        <v>185</v>
      </c>
      <c r="B176" t="s">
        <v>606</v>
      </c>
      <c r="C176" t="s">
        <v>763</v>
      </c>
      <c r="D176" t="str" cm="1">
        <f t="array" ref="D176">_xlfn.LET(
    _xlpm.searchText, B176,
    _xlpm.matchIndex, MATCH(TRUE, INDEX(ISNUMBER(SEARCH(E:E, _xlpm.searchText)), 0), 0),
    IF(ISNA(_xlpm.matchIndex), "",
       INDEX(F:F, _xlpm.matchIndex)
    )
)</f>
        <v>T3SS_YscJ</v>
      </c>
      <c r="G176" t="str">
        <f t="shared" si="2"/>
        <v>Chlamydia</v>
      </c>
    </row>
    <row r="177" spans="1:7" x14ac:dyDescent="0.2">
      <c r="A177" t="s">
        <v>186</v>
      </c>
      <c r="B177" t="s">
        <v>596</v>
      </c>
      <c r="C177" t="s">
        <v>688</v>
      </c>
      <c r="D177" t="str" cm="1">
        <f t="array" ref="D177">_xlfn.LET(
    _xlpm.searchText, B177,
    _xlpm.matchIndex, MATCH(TRUE, INDEX(ISNUMBER(SEARCH(E:E, _xlpm.searchText)), 0), 0),
    IF(ISNA(_xlpm.matchIndex), "",
       INDEX(F:F, _xlpm.matchIndex)
    )
)</f>
        <v>FliF</v>
      </c>
      <c r="G177" t="str">
        <f t="shared" si="2"/>
        <v>Bacillus</v>
      </c>
    </row>
    <row r="178" spans="1:7" x14ac:dyDescent="0.2">
      <c r="A178" t="s">
        <v>187</v>
      </c>
      <c r="B178" t="s">
        <v>595</v>
      </c>
      <c r="C178" t="s">
        <v>764</v>
      </c>
      <c r="D178" t="str" cm="1">
        <f t="array" ref="D178">_xlfn.LET(
    _xlpm.searchText, B178,
    _xlpm.matchIndex, MATCH(TRUE, INDEX(ISNUMBER(SEARCH(E:E, _xlpm.searchText)), 0), 0),
    IF(ISNA(_xlpm.matchIndex), "",
       INDEX(F:F, _xlpm.matchIndex)
    )
)</f>
        <v>FliF</v>
      </c>
      <c r="G178" t="str">
        <f t="shared" si="2"/>
        <v>Campylobacter</v>
      </c>
    </row>
    <row r="179" spans="1:7" x14ac:dyDescent="0.2">
      <c r="A179" t="s">
        <v>188</v>
      </c>
      <c r="B179" t="s">
        <v>595</v>
      </c>
      <c r="C179" t="s">
        <v>765</v>
      </c>
      <c r="D179" t="str" cm="1">
        <f t="array" ref="D179">_xlfn.LET(
    _xlpm.searchText, B179,
    _xlpm.matchIndex, MATCH(TRUE, INDEX(ISNUMBER(SEARCH(E:E, _xlpm.searchText)), 0), 0),
    IF(ISNA(_xlpm.matchIndex), "",
       INDEX(F:F, _xlpm.matchIndex)
    )
)</f>
        <v>FliF</v>
      </c>
      <c r="G179" t="str">
        <f t="shared" si="2"/>
        <v>Buchnera</v>
      </c>
    </row>
    <row r="180" spans="1:7" x14ac:dyDescent="0.2">
      <c r="A180" t="s">
        <v>189</v>
      </c>
      <c r="B180" t="s">
        <v>607</v>
      </c>
      <c r="C180" t="s">
        <v>766</v>
      </c>
      <c r="D180" t="str" cm="1">
        <f t="array" ref="D180">_xlfn.LET(
    _xlpm.searchText, B180,
    _xlpm.matchIndex, MATCH(TRUE, INDEX(ISNUMBER(SEARCH(E:E, _xlpm.searchText)), 0), 0),
    IF(ISNA(_xlpm.matchIndex), "",
       INDEX(F:F, _xlpm.matchIndex)
    )
)</f>
        <v>FliF</v>
      </c>
      <c r="G180" t="str">
        <f t="shared" si="2"/>
        <v>Vibrio</v>
      </c>
    </row>
    <row r="181" spans="1:7" x14ac:dyDescent="0.2">
      <c r="A181" t="s">
        <v>190</v>
      </c>
      <c r="B181" t="s">
        <v>596</v>
      </c>
      <c r="C181" t="s">
        <v>689</v>
      </c>
      <c r="D181" t="str" cm="1">
        <f t="array" ref="D181">_xlfn.LET(
    _xlpm.searchText, B181,
    _xlpm.matchIndex, MATCH(TRUE, INDEX(ISNUMBER(SEARCH(E:E, _xlpm.searchText)), 0), 0),
    IF(ISNA(_xlpm.matchIndex), "",
       INDEX(F:F, _xlpm.matchIndex)
    )
)</f>
        <v>FliF</v>
      </c>
      <c r="G181" t="str">
        <f t="shared" si="2"/>
        <v>Geobacillus</v>
      </c>
    </row>
    <row r="182" spans="1:7" x14ac:dyDescent="0.2">
      <c r="A182" t="s">
        <v>191</v>
      </c>
      <c r="B182" t="s">
        <v>603</v>
      </c>
      <c r="C182" t="s">
        <v>690</v>
      </c>
      <c r="D182" t="str" cm="1">
        <f t="array" ref="D182">_xlfn.LET(
    _xlpm.searchText, B182,
    _xlpm.matchIndex, MATCH(TRUE, INDEX(ISNUMBER(SEARCH(E:E, _xlpm.searchText)), 0), 0),
    IF(ISNA(_xlpm.matchIndex), "",
       INDEX(F:F, _xlpm.matchIndex)
    )
)</f>
        <v>FliF</v>
      </c>
      <c r="G182" t="str">
        <f t="shared" si="2"/>
        <v>Alkalihalobacillus</v>
      </c>
    </row>
    <row r="183" spans="1:7" x14ac:dyDescent="0.2">
      <c r="A183" t="s">
        <v>192</v>
      </c>
      <c r="B183" t="s">
        <v>596</v>
      </c>
      <c r="C183" t="s">
        <v>691</v>
      </c>
      <c r="D183" t="str" cm="1">
        <f t="array" ref="D183">_xlfn.LET(
    _xlpm.searchText, B183,
    _xlpm.matchIndex, MATCH(TRUE, INDEX(ISNUMBER(SEARCH(E:E, _xlpm.searchText)), 0), 0),
    IF(ISNA(_xlpm.matchIndex), "",
       INDEX(F:F, _xlpm.matchIndex)
    )
)</f>
        <v>FliF</v>
      </c>
      <c r="G183" t="str">
        <f t="shared" si="2"/>
        <v>Symbiobacterium</v>
      </c>
    </row>
    <row r="184" spans="1:7" x14ac:dyDescent="0.2">
      <c r="A184" t="s">
        <v>193</v>
      </c>
      <c r="B184" t="s">
        <v>608</v>
      </c>
      <c r="C184" t="s">
        <v>767</v>
      </c>
      <c r="D184" t="str" cm="1">
        <f t="array" ref="D184">_xlfn.LET(
    _xlpm.searchText, B184,
    _xlpm.matchIndex, MATCH(TRUE, INDEX(ISNUMBER(SEARCH(E:E, _xlpm.searchText)), 0), 0),
    IF(ISNA(_xlpm.matchIndex), "",
       INDEX(F:F, _xlpm.matchIndex)
    )
)</f>
        <v>T3SS</v>
      </c>
      <c r="G184" t="str">
        <f t="shared" si="2"/>
        <v>Magnetospirillum</v>
      </c>
    </row>
    <row r="185" spans="1:7" x14ac:dyDescent="0.2">
      <c r="A185" t="s">
        <v>194</v>
      </c>
      <c r="B185" t="s">
        <v>595</v>
      </c>
      <c r="C185" t="s">
        <v>768</v>
      </c>
      <c r="D185" t="str" cm="1">
        <f t="array" ref="D185">_xlfn.LET(
    _xlpm.searchText, B185,
    _xlpm.matchIndex, MATCH(TRUE, INDEX(ISNUMBER(SEARCH(E:E, _xlpm.searchText)), 0), 0),
    IF(ISNA(_xlpm.matchIndex), "",
       INDEX(F:F, _xlpm.matchIndex)
    )
)</f>
        <v>FliF</v>
      </c>
      <c r="G185" t="str">
        <f t="shared" si="2"/>
        <v>Gemmatimonas</v>
      </c>
    </row>
    <row r="186" spans="1:7" x14ac:dyDescent="0.2">
      <c r="A186" t="s">
        <v>195</v>
      </c>
      <c r="B186" t="s">
        <v>595</v>
      </c>
      <c r="C186" t="s">
        <v>769</v>
      </c>
      <c r="D186" t="str" cm="1">
        <f t="array" ref="D186">_xlfn.LET(
    _xlpm.searchText, B186,
    _xlpm.matchIndex, MATCH(TRUE, INDEX(ISNUMBER(SEARCH(E:E, _xlpm.searchText)), 0), 0),
    IF(ISNA(_xlpm.matchIndex), "",
       INDEX(F:F, _xlpm.matchIndex)
    )
)</f>
        <v>FliF</v>
      </c>
      <c r="G186" t="str">
        <f t="shared" si="2"/>
        <v>Solidesulfovibrio</v>
      </c>
    </row>
    <row r="187" spans="1:7" x14ac:dyDescent="0.2">
      <c r="A187" t="s">
        <v>196</v>
      </c>
      <c r="B187" t="s">
        <v>596</v>
      </c>
      <c r="C187" t="s">
        <v>692</v>
      </c>
      <c r="D187" t="str" cm="1">
        <f t="array" ref="D187">_xlfn.LET(
    _xlpm.searchText, B187,
    _xlpm.matchIndex, MATCH(TRUE, INDEX(ISNUMBER(SEARCH(E:E, _xlpm.searchText)), 0), 0),
    IF(ISNA(_xlpm.matchIndex), "",
       INDEX(F:F, _xlpm.matchIndex)
    )
)</f>
        <v>FliF</v>
      </c>
      <c r="G187" t="str">
        <f t="shared" si="2"/>
        <v>Halalkalibacterium</v>
      </c>
    </row>
    <row r="188" spans="1:7" x14ac:dyDescent="0.2">
      <c r="A188" t="s">
        <v>197</v>
      </c>
      <c r="B188" t="s">
        <v>605</v>
      </c>
      <c r="C188" t="s">
        <v>770</v>
      </c>
      <c r="D188" t="str" cm="1">
        <f t="array" ref="D188">_xlfn.LET(
    _xlpm.searchText, B188,
    _xlpm.matchIndex, MATCH(TRUE, INDEX(ISNUMBER(SEARCH(E:E, _xlpm.searchText)), 0), 0),
    IF(ISNA(_xlpm.matchIndex), "",
       INDEX(F:F, _xlpm.matchIndex)
    )
)</f>
        <v>FliF</v>
      </c>
      <c r="G188" t="str">
        <f t="shared" si="2"/>
        <v>Cereibacter</v>
      </c>
    </row>
    <row r="189" spans="1:7" x14ac:dyDescent="0.2">
      <c r="A189" t="s">
        <v>198</v>
      </c>
      <c r="B189" t="s">
        <v>596</v>
      </c>
      <c r="C189" t="s">
        <v>693</v>
      </c>
      <c r="D189" t="str" cm="1">
        <f t="array" ref="D189">_xlfn.LET(
    _xlpm.searchText, B189,
    _xlpm.matchIndex, MATCH(TRUE, INDEX(ISNUMBER(SEARCH(E:E, _xlpm.searchText)), 0), 0),
    IF(ISNA(_xlpm.matchIndex), "",
       INDEX(F:F, _xlpm.matchIndex)
    )
)</f>
        <v>FliF</v>
      </c>
      <c r="G189" t="str">
        <f t="shared" si="2"/>
        <v>Oceanobacillus</v>
      </c>
    </row>
    <row r="190" spans="1:7" x14ac:dyDescent="0.2">
      <c r="A190" t="s">
        <v>199</v>
      </c>
      <c r="B190" t="s">
        <v>595</v>
      </c>
      <c r="C190" t="s">
        <v>771</v>
      </c>
      <c r="D190" t="str" cm="1">
        <f t="array" ref="D190">_xlfn.LET(
    _xlpm.searchText, B190,
    _xlpm.matchIndex, MATCH(TRUE, INDEX(ISNUMBER(SEARCH(E:E, _xlpm.searchText)), 0), 0),
    IF(ISNA(_xlpm.matchIndex), "",
       INDEX(F:F, _xlpm.matchIndex)
    )
)</f>
        <v>FliF</v>
      </c>
      <c r="G190" t="str">
        <f t="shared" si="2"/>
        <v>Burkholderia</v>
      </c>
    </row>
    <row r="191" spans="1:7" x14ac:dyDescent="0.2">
      <c r="A191" t="s">
        <v>200</v>
      </c>
      <c r="B191" t="s">
        <v>609</v>
      </c>
      <c r="C191" t="s">
        <v>771</v>
      </c>
      <c r="D191" t="str" cm="1">
        <f t="array" ref="D191">_xlfn.LET(
    _xlpm.searchText, B191,
    _xlpm.matchIndex, MATCH(TRUE, INDEX(ISNUMBER(SEARCH(E:E, _xlpm.searchText)), 0), 0),
    IF(ISNA(_xlpm.matchIndex), "",
       INDEX(F:F, _xlpm.matchIndex)
    )
)</f>
        <v>T3SS</v>
      </c>
      <c r="G191" t="str">
        <f t="shared" si="2"/>
        <v>Burkholderia</v>
      </c>
    </row>
    <row r="192" spans="1:7" x14ac:dyDescent="0.2">
      <c r="A192" t="s">
        <v>201</v>
      </c>
      <c r="B192" t="s">
        <v>610</v>
      </c>
      <c r="C192" t="s">
        <v>771</v>
      </c>
      <c r="D192" t="str" cm="1">
        <f t="array" ref="D192">_xlfn.LET(
    _xlpm.searchText, B192,
    _xlpm.matchIndex, MATCH(TRUE, INDEX(ISNUMBER(SEARCH(E:E, _xlpm.searchText)), 0), 0),
    IF(ISNA(_xlpm.matchIndex), "",
       INDEX(F:F, _xlpm.matchIndex)
    )
)</f>
        <v>T3SS</v>
      </c>
      <c r="G192" t="str">
        <f t="shared" si="2"/>
        <v>Burkholderia</v>
      </c>
    </row>
    <row r="193" spans="1:7" x14ac:dyDescent="0.2">
      <c r="A193" t="s">
        <v>202</v>
      </c>
      <c r="B193" t="s">
        <v>611</v>
      </c>
      <c r="C193" t="s">
        <v>771</v>
      </c>
      <c r="D193" t="str" cm="1">
        <f t="array" ref="D193">_xlfn.LET(
    _xlpm.searchText, B193,
    _xlpm.matchIndex, MATCH(TRUE, INDEX(ISNUMBER(SEARCH(E:E, _xlpm.searchText)), 0), 0),
    IF(ISNA(_xlpm.matchIndex), "",
       INDEX(F:F, _xlpm.matchIndex)
    )
)</f>
        <v>T3SS</v>
      </c>
      <c r="G193" t="str">
        <f t="shared" si="2"/>
        <v>Burkholderia</v>
      </c>
    </row>
    <row r="194" spans="1:7" x14ac:dyDescent="0.2">
      <c r="A194" t="s">
        <v>203</v>
      </c>
      <c r="B194" t="s">
        <v>612</v>
      </c>
      <c r="C194" t="s">
        <v>772</v>
      </c>
      <c r="D194" t="str" cm="1">
        <f t="array" ref="D194">_xlfn.LET(
    _xlpm.searchText, B194,
    _xlpm.matchIndex, MATCH(TRUE, INDEX(ISNUMBER(SEARCH(E:E, _xlpm.searchText)), 0), 0),
    IF(ISNA(_xlpm.matchIndex), "",
       INDEX(F:F, _xlpm.matchIndex)
    )
)</f>
        <v>T3SS</v>
      </c>
      <c r="G194" t="str">
        <f t="shared" si="2"/>
        <v>Burkholderia</v>
      </c>
    </row>
    <row r="195" spans="1:7" x14ac:dyDescent="0.2">
      <c r="A195" t="s">
        <v>204</v>
      </c>
      <c r="B195" t="s">
        <v>603</v>
      </c>
      <c r="C195" t="s">
        <v>772</v>
      </c>
      <c r="D195" t="str" cm="1">
        <f t="array" ref="D195">_xlfn.LET(
    _xlpm.searchText, B195,
    _xlpm.matchIndex, MATCH(TRUE, INDEX(ISNUMBER(SEARCH(E:E, _xlpm.searchText)), 0), 0),
    IF(ISNA(_xlpm.matchIndex), "",
       INDEX(F:F, _xlpm.matchIndex)
    )
)</f>
        <v>FliF</v>
      </c>
      <c r="G195" t="str">
        <f t="shared" si="2"/>
        <v>Burkholderia</v>
      </c>
    </row>
    <row r="196" spans="1:7" x14ac:dyDescent="0.2">
      <c r="A196" t="s">
        <v>205</v>
      </c>
      <c r="B196" t="s">
        <v>613</v>
      </c>
      <c r="C196" t="s">
        <v>773</v>
      </c>
      <c r="D196" t="str" cm="1">
        <f t="array" ref="D196">_xlfn.LET(
    _xlpm.searchText, B196,
    _xlpm.matchIndex, MATCH(TRUE, INDEX(ISNUMBER(SEARCH(E:E, _xlpm.searchText)), 0), 0),
    IF(ISNA(_xlpm.matchIndex), "",
       INDEX(F:F, _xlpm.matchIndex)
    )
)</f>
        <v>T3SS_YscJ_HrcJ</v>
      </c>
      <c r="G196" t="str">
        <f t="shared" ref="G196:G259" si="3">IFERROR(_xlfn.TEXTBEFORE(C196, " "), C196)</f>
        <v>Pseudomonas</v>
      </c>
    </row>
    <row r="197" spans="1:7" x14ac:dyDescent="0.2">
      <c r="A197" t="s">
        <v>207</v>
      </c>
      <c r="B197" t="s">
        <v>614</v>
      </c>
      <c r="C197" t="s">
        <v>773</v>
      </c>
      <c r="D197" t="str" cm="1">
        <f t="array" ref="D197">_xlfn.LET(
    _xlpm.searchText, B197,
    _xlpm.matchIndex, MATCH(TRUE, INDEX(ISNUMBER(SEARCH(E:E, _xlpm.searchText)), 0), 0),
    IF(ISNA(_xlpm.matchIndex), "",
       INDEX(F:F, _xlpm.matchIndex)
    )
)</f>
        <v>FliF</v>
      </c>
      <c r="G197" t="str">
        <f t="shared" si="3"/>
        <v>Pseudomonas</v>
      </c>
    </row>
    <row r="198" spans="1:7" x14ac:dyDescent="0.2">
      <c r="A198" t="s">
        <v>208</v>
      </c>
      <c r="B198" t="s">
        <v>603</v>
      </c>
      <c r="C198" t="s">
        <v>774</v>
      </c>
      <c r="D198" t="str" cm="1">
        <f t="array" ref="D198">_xlfn.LET(
    _xlpm.searchText, B198,
    _xlpm.matchIndex, MATCH(TRUE, INDEX(ISNUMBER(SEARCH(E:E, _xlpm.searchText)), 0), 0),
    IF(ISNA(_xlpm.matchIndex), "",
       INDEX(F:F, _xlpm.matchIndex)
    )
)</f>
        <v>FliF</v>
      </c>
      <c r="G198" t="str">
        <f t="shared" si="3"/>
        <v>Colwellia</v>
      </c>
    </row>
    <row r="199" spans="1:7" x14ac:dyDescent="0.2">
      <c r="A199" t="s">
        <v>209</v>
      </c>
      <c r="B199" t="s">
        <v>615</v>
      </c>
      <c r="C199" t="s">
        <v>775</v>
      </c>
      <c r="D199" t="str" cm="1">
        <f t="array" ref="D199">_xlfn.LET(
    _xlpm.searchText, B199,
    _xlpm.matchIndex, MATCH(TRUE, INDEX(ISNUMBER(SEARCH(E:E, _xlpm.searchText)), 0), 0),
    IF(ISNA(_xlpm.matchIndex), "",
       INDEX(F:F, _xlpm.matchIndex)
    )
)</f>
        <v>Lipoprotein</v>
      </c>
      <c r="G199" t="str">
        <f t="shared" si="3"/>
        <v>Burkholderia</v>
      </c>
    </row>
    <row r="200" spans="1:7" x14ac:dyDescent="0.2">
      <c r="A200" t="s">
        <v>210</v>
      </c>
      <c r="B200" t="s">
        <v>612</v>
      </c>
      <c r="C200" t="s">
        <v>775</v>
      </c>
      <c r="D200" t="str" cm="1">
        <f t="array" ref="D200">_xlfn.LET(
    _xlpm.searchText, B200,
    _xlpm.matchIndex, MATCH(TRUE, INDEX(ISNUMBER(SEARCH(E:E, _xlpm.searchText)), 0), 0),
    IF(ISNA(_xlpm.matchIndex), "",
       INDEX(F:F, _xlpm.matchIndex)
    )
)</f>
        <v>T3SS</v>
      </c>
      <c r="G200" t="str">
        <f t="shared" si="3"/>
        <v>Burkholderia</v>
      </c>
    </row>
    <row r="201" spans="1:7" x14ac:dyDescent="0.2">
      <c r="A201" t="s">
        <v>211</v>
      </c>
      <c r="B201" t="s">
        <v>603</v>
      </c>
      <c r="C201" t="s">
        <v>775</v>
      </c>
      <c r="D201" t="str" cm="1">
        <f t="array" ref="D201">_xlfn.LET(
    _xlpm.searchText, B201,
    _xlpm.matchIndex, MATCH(TRUE, INDEX(ISNUMBER(SEARCH(E:E, _xlpm.searchText)), 0), 0),
    IF(ISNA(_xlpm.matchIndex), "",
       INDEX(F:F, _xlpm.matchIndex)
    )
)</f>
        <v>FliF</v>
      </c>
      <c r="G201" t="str">
        <f t="shared" si="3"/>
        <v>Burkholderia</v>
      </c>
    </row>
    <row r="202" spans="1:7" x14ac:dyDescent="0.2">
      <c r="A202" t="s">
        <v>212</v>
      </c>
      <c r="B202" t="s">
        <v>603</v>
      </c>
      <c r="C202" t="s">
        <v>775</v>
      </c>
      <c r="D202" t="str" cm="1">
        <f t="array" ref="D202">_xlfn.LET(
    _xlpm.searchText, B202,
    _xlpm.matchIndex, MATCH(TRUE, INDEX(ISNUMBER(SEARCH(E:E, _xlpm.searchText)), 0), 0),
    IF(ISNA(_xlpm.matchIndex), "",
       INDEX(F:F, _xlpm.matchIndex)
    )
)</f>
        <v>FliF</v>
      </c>
      <c r="G202" t="str">
        <f t="shared" si="3"/>
        <v>Burkholderia</v>
      </c>
    </row>
    <row r="203" spans="1:7" x14ac:dyDescent="0.2">
      <c r="A203" t="s">
        <v>213</v>
      </c>
      <c r="B203" t="s">
        <v>613</v>
      </c>
      <c r="C203" t="s">
        <v>776</v>
      </c>
      <c r="D203" t="str" cm="1">
        <f t="array" ref="D203">_xlfn.LET(
    _xlpm.searchText, B203,
    _xlpm.matchIndex, MATCH(TRUE, INDEX(ISNUMBER(SEARCH(E:E, _xlpm.searchText)), 0), 0),
    IF(ISNA(_xlpm.matchIndex), "",
       INDEX(F:F, _xlpm.matchIndex)
    )
)</f>
        <v>T3SS_YscJ_HrcJ</v>
      </c>
      <c r="G203" t="str">
        <f t="shared" si="3"/>
        <v>Myxococcus</v>
      </c>
    </row>
    <row r="204" spans="1:7" x14ac:dyDescent="0.2">
      <c r="A204" t="s">
        <v>214</v>
      </c>
      <c r="B204" t="s">
        <v>616</v>
      </c>
      <c r="C204" t="s">
        <v>776</v>
      </c>
      <c r="D204" t="str" cm="1">
        <f t="array" ref="D204">_xlfn.LET(
    _xlpm.searchText, B204,
    _xlpm.matchIndex, MATCH(TRUE, INDEX(ISNUMBER(SEARCH(E:E, _xlpm.searchText)), 0), 0),
    IF(ISNA(_xlpm.matchIndex), "",
       INDEX(F:F, _xlpm.matchIndex)
    )
)</f>
        <v>T3SS</v>
      </c>
      <c r="G204" t="str">
        <f t="shared" si="3"/>
        <v>Myxococcus</v>
      </c>
    </row>
    <row r="205" spans="1:7" x14ac:dyDescent="0.2">
      <c r="A205" t="s">
        <v>215</v>
      </c>
      <c r="B205" t="s">
        <v>617</v>
      </c>
      <c r="C205" t="s">
        <v>777</v>
      </c>
      <c r="D205" t="str" cm="1">
        <f t="array" ref="D205">_xlfn.LET(
    _xlpm.searchText, B205,
    _xlpm.matchIndex, MATCH(TRUE, INDEX(ISNUMBER(SEARCH(E:E, _xlpm.searchText)), 0), 0),
    IF(ISNA(_xlpm.matchIndex), "",
       INDEX(F:F, _xlpm.matchIndex)
    )
)</f>
        <v>FliF</v>
      </c>
      <c r="G205" t="str">
        <f t="shared" si="3"/>
        <v>Nitrobacter</v>
      </c>
    </row>
    <row r="206" spans="1:7" x14ac:dyDescent="0.2">
      <c r="A206" t="s">
        <v>216</v>
      </c>
      <c r="B206" t="s">
        <v>618</v>
      </c>
      <c r="C206" t="s">
        <v>778</v>
      </c>
      <c r="D206" t="str" cm="1">
        <f t="array" ref="D206">_xlfn.LET(
    _xlpm.searchText, B206,
    _xlpm.matchIndex, MATCH(TRUE, INDEX(ISNUMBER(SEARCH(E:E, _xlpm.searchText)), 0), 0),
    IF(ISNA(_xlpm.matchIndex), "",
       INDEX(F:F, _xlpm.matchIndex)
    )
)</f>
        <v>T3SS</v>
      </c>
      <c r="G206" t="str">
        <f t="shared" si="3"/>
        <v>Thiobacillus</v>
      </c>
    </row>
    <row r="207" spans="1:7" x14ac:dyDescent="0.2">
      <c r="A207" t="s">
        <v>217</v>
      </c>
      <c r="B207" t="s">
        <v>603</v>
      </c>
      <c r="C207" t="s">
        <v>778</v>
      </c>
      <c r="D207" t="str" cm="1">
        <f t="array" ref="D207">_xlfn.LET(
    _xlpm.searchText, B207,
    _xlpm.matchIndex, MATCH(TRUE, INDEX(ISNUMBER(SEARCH(E:E, _xlpm.searchText)), 0), 0),
    IF(ISNA(_xlpm.matchIndex), "",
       INDEX(F:F, _xlpm.matchIndex)
    )
)</f>
        <v>FliF</v>
      </c>
      <c r="G207" t="str">
        <f t="shared" si="3"/>
        <v>Thiobacillus</v>
      </c>
    </row>
    <row r="208" spans="1:7" x14ac:dyDescent="0.2">
      <c r="A208" t="s">
        <v>218</v>
      </c>
      <c r="B208" t="s">
        <v>614</v>
      </c>
      <c r="C208" t="s">
        <v>779</v>
      </c>
      <c r="D208" t="str" cm="1">
        <f t="array" ref="D208">_xlfn.LET(
    _xlpm.searchText, B208,
    _xlpm.matchIndex, MATCH(TRUE, INDEX(ISNUMBER(SEARCH(E:E, _xlpm.searchText)), 0), 0),
    IF(ISNA(_xlpm.matchIndex), "",
       INDEX(F:F, _xlpm.matchIndex)
    )
)</f>
        <v>FliF</v>
      </c>
      <c r="G208" t="str">
        <f t="shared" si="3"/>
        <v>Nitrosococcus</v>
      </c>
    </row>
    <row r="209" spans="1:7" x14ac:dyDescent="0.2">
      <c r="A209" t="s">
        <v>219</v>
      </c>
      <c r="B209" t="s">
        <v>602</v>
      </c>
      <c r="C209" t="s">
        <v>780</v>
      </c>
      <c r="D209" t="str" cm="1">
        <f t="array" ref="D209">_xlfn.LET(
    _xlpm.searchText, B209,
    _xlpm.matchIndex, MATCH(TRUE, INDEX(ISNUMBER(SEARCH(E:E, _xlpm.searchText)), 0), 0),
    IF(ISNA(_xlpm.matchIndex), "",
       INDEX(F:F, _xlpm.matchIndex)
    )
)</f>
        <v>FliF</v>
      </c>
      <c r="G209" t="str">
        <f t="shared" si="3"/>
        <v>Syntrophotalea</v>
      </c>
    </row>
    <row r="210" spans="1:7" x14ac:dyDescent="0.2">
      <c r="A210" t="s">
        <v>220</v>
      </c>
      <c r="B210" t="s">
        <v>603</v>
      </c>
      <c r="C210" t="s">
        <v>781</v>
      </c>
      <c r="D210" t="str" cm="1">
        <f t="array" ref="D210">_xlfn.LET(
    _xlpm.searchText, B210,
    _xlpm.matchIndex, MATCH(TRUE, INDEX(ISNUMBER(SEARCH(E:E, _xlpm.searchText)), 0), 0),
    IF(ISNA(_xlpm.matchIndex), "",
       INDEX(F:F, _xlpm.matchIndex)
    )
)</f>
        <v>FliF</v>
      </c>
      <c r="G210" t="str">
        <f t="shared" si="3"/>
        <v>Hyphomonas</v>
      </c>
    </row>
    <row r="211" spans="1:7" x14ac:dyDescent="0.2">
      <c r="A211" t="s">
        <v>221</v>
      </c>
      <c r="B211" t="s">
        <v>603</v>
      </c>
      <c r="C211" t="s">
        <v>782</v>
      </c>
      <c r="D211" t="str" cm="1">
        <f t="array" ref="D211">_xlfn.LET(
    _xlpm.searchText, B211,
    _xlpm.matchIndex, MATCH(TRUE, INDEX(ISNUMBER(SEARCH(E:E, _xlpm.searchText)), 0), 0),
    IF(ISNA(_xlpm.matchIndex), "",
       INDEX(F:F, _xlpm.matchIndex)
    )
)</f>
        <v>FliF</v>
      </c>
      <c r="G211" t="str">
        <f t="shared" si="3"/>
        <v>Salinibacter</v>
      </c>
    </row>
    <row r="212" spans="1:7" x14ac:dyDescent="0.2">
      <c r="A212" t="s">
        <v>222</v>
      </c>
      <c r="B212" t="s">
        <v>595</v>
      </c>
      <c r="C212" t="s">
        <v>783</v>
      </c>
      <c r="D212" t="str" cm="1">
        <f t="array" ref="D212">_xlfn.LET(
    _xlpm.searchText, B212,
    _xlpm.matchIndex, MATCH(TRUE, INDEX(ISNUMBER(SEARCH(E:E, _xlpm.searchText)), 0), 0),
    IF(ISNA(_xlpm.matchIndex), "",
       INDEX(F:F, _xlpm.matchIndex)
    )
)</f>
        <v>FliF</v>
      </c>
      <c r="G212" t="str">
        <f t="shared" si="3"/>
        <v>Syntrophus</v>
      </c>
    </row>
    <row r="213" spans="1:7" x14ac:dyDescent="0.2">
      <c r="A213" t="s">
        <v>223</v>
      </c>
      <c r="B213" t="s">
        <v>603</v>
      </c>
      <c r="C213" t="s">
        <v>784</v>
      </c>
      <c r="D213" t="str" cm="1">
        <f t="array" ref="D213">_xlfn.LET(
    _xlpm.searchText, B213,
    _xlpm.matchIndex, MATCH(TRUE, INDEX(ISNUMBER(SEARCH(E:E, _xlpm.searchText)), 0), 0),
    IF(ISNA(_xlpm.matchIndex), "",
       INDEX(F:F, _xlpm.matchIndex)
    )
)</f>
        <v>FliF</v>
      </c>
      <c r="G213" t="str">
        <f t="shared" si="3"/>
        <v>Saccharophagus</v>
      </c>
    </row>
    <row r="214" spans="1:7" x14ac:dyDescent="0.2">
      <c r="A214" t="s">
        <v>224</v>
      </c>
      <c r="B214" t="s">
        <v>603</v>
      </c>
      <c r="C214" t="s">
        <v>785</v>
      </c>
      <c r="D214" t="str" cm="1">
        <f t="array" ref="D214">_xlfn.LET(
    _xlpm.searchText, B214,
    _xlpm.matchIndex, MATCH(TRUE, INDEX(ISNUMBER(SEARCH(E:E, _xlpm.searchText)), 0), 0),
    IF(ISNA(_xlpm.matchIndex), "",
       INDEX(F:F, _xlpm.matchIndex)
    )
)</f>
        <v>FliF</v>
      </c>
      <c r="G214" t="str">
        <f t="shared" si="3"/>
        <v>Methylobacillus</v>
      </c>
    </row>
    <row r="215" spans="1:7" x14ac:dyDescent="0.2">
      <c r="A215" t="s">
        <v>225</v>
      </c>
      <c r="B215" t="s">
        <v>603</v>
      </c>
      <c r="C215" t="s">
        <v>786</v>
      </c>
      <c r="D215" t="str" cm="1">
        <f t="array" ref="D215">_xlfn.LET(
    _xlpm.searchText, B215,
    _xlpm.matchIndex, MATCH(TRUE, INDEX(ISNUMBER(SEARCH(E:E, _xlpm.searchText)), 0), 0),
    IF(ISNA(_xlpm.matchIndex), "",
       INDEX(F:F, _xlpm.matchIndex)
    )
)</f>
        <v>FliF</v>
      </c>
      <c r="G215" t="str">
        <f t="shared" si="3"/>
        <v>Nitrosomonas</v>
      </c>
    </row>
    <row r="216" spans="1:7" x14ac:dyDescent="0.2">
      <c r="A216" t="s">
        <v>226</v>
      </c>
      <c r="B216" t="s">
        <v>603</v>
      </c>
      <c r="C216" t="s">
        <v>787</v>
      </c>
      <c r="D216" t="str" cm="1">
        <f t="array" ref="D216">_xlfn.LET(
    _xlpm.searchText, B216,
    _xlpm.matchIndex, MATCH(TRUE, INDEX(ISNUMBER(SEARCH(E:E, _xlpm.searchText)), 0), 0),
    IF(ISNA(_xlpm.matchIndex), "",
       INDEX(F:F, _xlpm.matchIndex)
    )
)</f>
        <v>FliF</v>
      </c>
      <c r="G216" t="str">
        <f t="shared" si="3"/>
        <v>Magnetococcus</v>
      </c>
    </row>
    <row r="217" spans="1:7" x14ac:dyDescent="0.2">
      <c r="A217" t="s">
        <v>227</v>
      </c>
      <c r="B217" t="s">
        <v>603</v>
      </c>
      <c r="C217" t="s">
        <v>788</v>
      </c>
      <c r="D217" t="str" cm="1">
        <f t="array" ref="D217">_xlfn.LET(
    _xlpm.searchText, B217,
    _xlpm.matchIndex, MATCH(TRUE, INDEX(ISNUMBER(SEARCH(E:E, _xlpm.searchText)), 0), 0),
    IF(ISNA(_xlpm.matchIndex), "",
       INDEX(F:F, _xlpm.matchIndex)
    )
)</f>
        <v>FliF</v>
      </c>
      <c r="G217" t="str">
        <f t="shared" si="3"/>
        <v>Marinobacter</v>
      </c>
    </row>
    <row r="218" spans="1:7" x14ac:dyDescent="0.2">
      <c r="A218" t="s">
        <v>228</v>
      </c>
      <c r="B218" t="s">
        <v>603</v>
      </c>
      <c r="C218" t="s">
        <v>789</v>
      </c>
      <c r="D218" t="str" cm="1">
        <f t="array" ref="D218">_xlfn.LET(
    _xlpm.searchText, B218,
    _xlpm.matchIndex, MATCH(TRUE, INDEX(ISNUMBER(SEARCH(E:E, _xlpm.searchText)), 0), 0),
    IF(ISNA(_xlpm.matchIndex), "",
       INDEX(F:F, _xlpm.matchIndex)
    )
)</f>
        <v>FliF</v>
      </c>
      <c r="G218" t="str">
        <f t="shared" si="3"/>
        <v>Brucella</v>
      </c>
    </row>
    <row r="219" spans="1:7" x14ac:dyDescent="0.2">
      <c r="A219" t="s">
        <v>229</v>
      </c>
      <c r="B219" t="s">
        <v>603</v>
      </c>
      <c r="C219" t="s">
        <v>790</v>
      </c>
      <c r="D219" t="str" cm="1">
        <f t="array" ref="D219">_xlfn.LET(
    _xlpm.searchText, B219,
    _xlpm.matchIndex, MATCH(TRUE, INDEX(ISNUMBER(SEARCH(E:E, _xlpm.searchText)), 0), 0),
    IF(ISNA(_xlpm.matchIndex), "",
       INDEX(F:F, _xlpm.matchIndex)
    )
)</f>
        <v>FliF</v>
      </c>
      <c r="G219" t="str">
        <f t="shared" si="3"/>
        <v>Parvibaculum</v>
      </c>
    </row>
    <row r="220" spans="1:7" x14ac:dyDescent="0.2">
      <c r="A220" t="s">
        <v>230</v>
      </c>
      <c r="B220" t="s">
        <v>619</v>
      </c>
      <c r="C220" t="s">
        <v>791</v>
      </c>
      <c r="D220" t="str" cm="1">
        <f t="array" ref="D220">_xlfn.LET(
    _xlpm.searchText, B220,
    _xlpm.matchIndex, MATCH(TRUE, INDEX(ISNUMBER(SEARCH(E:E, _xlpm.searchText)), 0), 0),
    IF(ISNA(_xlpm.matchIndex), "",
       INDEX(F:F, _xlpm.matchIndex)
    )
)</f>
        <v>FliF</v>
      </c>
      <c r="G220" t="str">
        <f t="shared" si="3"/>
        <v>Leptospira</v>
      </c>
    </row>
    <row r="221" spans="1:7" x14ac:dyDescent="0.2">
      <c r="A221" t="s">
        <v>231</v>
      </c>
      <c r="B221" t="s">
        <v>603</v>
      </c>
      <c r="C221" t="s">
        <v>792</v>
      </c>
      <c r="D221" t="str" cm="1">
        <f t="array" ref="D221">_xlfn.LET(
    _xlpm.searchText, B221,
    _xlpm.matchIndex, MATCH(TRUE, INDEX(ISNUMBER(SEARCH(E:E, _xlpm.searchText)), 0), 0),
    IF(ISNA(_xlpm.matchIndex), "",
       INDEX(F:F, _xlpm.matchIndex)
    )
)</f>
        <v>FliF</v>
      </c>
      <c r="G221" t="str">
        <f t="shared" si="3"/>
        <v>Shewanella</v>
      </c>
    </row>
    <row r="222" spans="1:7" x14ac:dyDescent="0.2">
      <c r="A222" t="s">
        <v>232</v>
      </c>
      <c r="B222" t="s">
        <v>603</v>
      </c>
      <c r="C222" t="s">
        <v>792</v>
      </c>
      <c r="D222" t="str" cm="1">
        <f t="array" ref="D222">_xlfn.LET(
    _xlpm.searchText, B222,
    _xlpm.matchIndex, MATCH(TRUE, INDEX(ISNUMBER(SEARCH(E:E, _xlpm.searchText)), 0), 0),
    IF(ISNA(_xlpm.matchIndex), "",
       INDEX(F:F, _xlpm.matchIndex)
    )
)</f>
        <v>FliF</v>
      </c>
      <c r="G222" t="str">
        <f t="shared" si="3"/>
        <v>Shewanella</v>
      </c>
    </row>
    <row r="223" spans="1:7" x14ac:dyDescent="0.2">
      <c r="A223" t="s">
        <v>233</v>
      </c>
      <c r="B223" t="s">
        <v>605</v>
      </c>
      <c r="C223" t="s">
        <v>793</v>
      </c>
      <c r="D223" t="str" cm="1">
        <f t="array" ref="D223">_xlfn.LET(
    _xlpm.searchText, B223,
    _xlpm.matchIndex, MATCH(TRUE, INDEX(ISNUMBER(SEARCH(E:E, _xlpm.searchText)), 0), 0),
    IF(ISNA(_xlpm.matchIndex), "",
       INDEX(F:F, _xlpm.matchIndex)
    )
)</f>
        <v>FliF</v>
      </c>
      <c r="G223" t="str">
        <f t="shared" si="3"/>
        <v>Thermotoga</v>
      </c>
    </row>
    <row r="224" spans="1:7" x14ac:dyDescent="0.2">
      <c r="A224" t="s">
        <v>234</v>
      </c>
      <c r="B224" t="s">
        <v>603</v>
      </c>
      <c r="C224" t="s">
        <v>694</v>
      </c>
      <c r="D224" t="str" cm="1">
        <f t="array" ref="D224">_xlfn.LET(
    _xlpm.searchText, B224,
    _xlpm.matchIndex, MATCH(TRUE, INDEX(ISNUMBER(SEARCH(E:E, _xlpm.searchText)), 0), 0),
    IF(ISNA(_xlpm.matchIndex), "",
       INDEX(F:F, _xlpm.matchIndex)
    )
)</f>
        <v>FliF</v>
      </c>
      <c r="G224" t="str">
        <f t="shared" si="3"/>
        <v>Thermoanaerobacter</v>
      </c>
    </row>
    <row r="225" spans="1:7" x14ac:dyDescent="0.2">
      <c r="A225" t="s">
        <v>235</v>
      </c>
      <c r="B225" t="s">
        <v>603</v>
      </c>
      <c r="C225" t="s">
        <v>794</v>
      </c>
      <c r="D225" t="str" cm="1">
        <f t="array" ref="D225">_xlfn.LET(
    _xlpm.searchText, B225,
    _xlpm.matchIndex, MATCH(TRUE, INDEX(ISNUMBER(SEARCH(E:E, _xlpm.searchText)), 0), 0),
    IF(ISNA(_xlpm.matchIndex), "",
       INDEX(F:F, _xlpm.matchIndex)
    )
)</f>
        <v>FliF</v>
      </c>
      <c r="G225" t="str">
        <f t="shared" si="3"/>
        <v>Pseudomonas</v>
      </c>
    </row>
    <row r="226" spans="1:7" x14ac:dyDescent="0.2">
      <c r="A226" t="s">
        <v>236</v>
      </c>
      <c r="B226" t="s">
        <v>603</v>
      </c>
      <c r="C226" t="s">
        <v>795</v>
      </c>
      <c r="D226" t="str" cm="1">
        <f t="array" ref="D226">_xlfn.LET(
    _xlpm.searchText, B226,
    _xlpm.matchIndex, MATCH(TRUE, INDEX(ISNUMBER(SEARCH(E:E, _xlpm.searchText)), 0), 0),
    IF(ISNA(_xlpm.matchIndex), "",
       INDEX(F:F, _xlpm.matchIndex)
    )
)</f>
        <v>FliF</v>
      </c>
      <c r="G226" t="str">
        <f t="shared" si="3"/>
        <v>Opitutus</v>
      </c>
    </row>
    <row r="227" spans="1:7" x14ac:dyDescent="0.2">
      <c r="A227" t="s">
        <v>237</v>
      </c>
      <c r="B227" t="s">
        <v>603</v>
      </c>
      <c r="C227" t="s">
        <v>695</v>
      </c>
      <c r="D227" t="str" cm="1">
        <f t="array" ref="D227">_xlfn.LET(
    _xlpm.searchText, B227,
    _xlpm.matchIndex, MATCH(TRUE, INDEX(ISNUMBER(SEARCH(E:E, _xlpm.searchText)), 0), 0),
    IF(ISNA(_xlpm.matchIndex), "",
       INDEX(F:F, _xlpm.matchIndex)
    )
)</f>
        <v>FliF</v>
      </c>
      <c r="G227" t="str">
        <f t="shared" si="3"/>
        <v>Natranaerobius</v>
      </c>
    </row>
    <row r="228" spans="1:7" x14ac:dyDescent="0.2">
      <c r="A228" t="s">
        <v>238</v>
      </c>
      <c r="B228" t="s">
        <v>600</v>
      </c>
      <c r="C228" t="s">
        <v>796</v>
      </c>
      <c r="D228" t="str" cm="1">
        <f t="array" ref="D228">_xlfn.LET(
    _xlpm.searchText, B228,
    _xlpm.matchIndex, MATCH(TRUE, INDEX(ISNUMBER(SEARCH(E:E, _xlpm.searchText)), 0), 0),
    IF(ISNA(_xlpm.matchIndex), "",
       INDEX(F:F, _xlpm.matchIndex)
    )
)</f>
        <v>FliF</v>
      </c>
      <c r="G228" t="str">
        <f t="shared" si="3"/>
        <v>Desulforapulum</v>
      </c>
    </row>
    <row r="229" spans="1:7" x14ac:dyDescent="0.2">
      <c r="A229" t="s">
        <v>239</v>
      </c>
      <c r="B229" t="s">
        <v>603</v>
      </c>
      <c r="C229" t="s">
        <v>696</v>
      </c>
      <c r="D229" t="str" cm="1">
        <f t="array" ref="D229">_xlfn.LET(
    _xlpm.searchText, B229,
    _xlpm.matchIndex, MATCH(TRUE, INDEX(ISNUMBER(SEARCH(E:E, _xlpm.searchText)), 0), 0),
    IF(ISNA(_xlpm.matchIndex), "",
       INDEX(F:F, _xlpm.matchIndex)
    )
)</f>
        <v>FliF</v>
      </c>
      <c r="G229" t="str">
        <f t="shared" si="3"/>
        <v>Halothermothrix</v>
      </c>
    </row>
    <row r="230" spans="1:7" x14ac:dyDescent="0.2">
      <c r="A230" t="s">
        <v>240</v>
      </c>
      <c r="B230" t="s">
        <v>602</v>
      </c>
      <c r="C230" t="s">
        <v>797</v>
      </c>
      <c r="D230" t="str" cm="1">
        <f t="array" ref="D230">_xlfn.LET(
    _xlpm.searchText, B230,
    _xlpm.matchIndex, MATCH(TRUE, INDEX(ISNUMBER(SEARCH(E:E, _xlpm.searchText)), 0), 0),
    IF(ISNA(_xlpm.matchIndex), "",
       INDEX(F:F, _xlpm.matchIndex)
    )
)</f>
        <v>FliF</v>
      </c>
      <c r="G230" t="str">
        <f t="shared" si="3"/>
        <v>Citrifermentans</v>
      </c>
    </row>
    <row r="231" spans="1:7" x14ac:dyDescent="0.2">
      <c r="A231" t="s">
        <v>241</v>
      </c>
      <c r="B231" t="s">
        <v>603</v>
      </c>
      <c r="C231" t="s">
        <v>798</v>
      </c>
      <c r="D231" t="str" cm="1">
        <f t="array" ref="D231">_xlfn.LET(
    _xlpm.searchText, B231,
    _xlpm.matchIndex, MATCH(TRUE, INDEX(ISNUMBER(SEARCH(E:E, _xlpm.searchText)), 0), 0),
    IF(ISNA(_xlpm.matchIndex), "",
       INDEX(F:F, _xlpm.matchIndex)
    )
)</f>
        <v>FliF</v>
      </c>
      <c r="G231" t="str">
        <f t="shared" si="3"/>
        <v>Thermodesulfovibrio</v>
      </c>
    </row>
    <row r="232" spans="1:7" x14ac:dyDescent="0.2">
      <c r="A232" t="s">
        <v>242</v>
      </c>
      <c r="B232" t="s">
        <v>603</v>
      </c>
      <c r="C232" t="s">
        <v>799</v>
      </c>
      <c r="D232" t="str" cm="1">
        <f t="array" ref="D232">_xlfn.LET(
    _xlpm.searchText, B232,
    _xlpm.matchIndex, MATCH(TRUE, INDEX(ISNUMBER(SEARCH(E:E, _xlpm.searchText)), 0), 0),
    IF(ISNA(_xlpm.matchIndex), "",
       INDEX(F:F, _xlpm.matchIndex)
    )
)</f>
        <v>FliF</v>
      </c>
      <c r="G232" t="str">
        <f t="shared" si="3"/>
        <v>Nautilia</v>
      </c>
    </row>
    <row r="233" spans="1:7" x14ac:dyDescent="0.2">
      <c r="A233" t="s">
        <v>243</v>
      </c>
      <c r="B233" t="s">
        <v>603</v>
      </c>
      <c r="C233" t="s">
        <v>697</v>
      </c>
      <c r="D233" t="str" cm="1">
        <f t="array" ref="D233">_xlfn.LET(
    _xlpm.searchText, B233,
    _xlpm.matchIndex, MATCH(TRUE, INDEX(ISNUMBER(SEARCH(E:E, _xlpm.searchText)), 0), 0),
    IF(ISNA(_xlpm.matchIndex), "",
       INDEX(F:F, _xlpm.matchIndex)
    )
)</f>
        <v>FliF</v>
      </c>
      <c r="G233" t="str">
        <f t="shared" si="3"/>
        <v>Desulfitobacterium</v>
      </c>
    </row>
    <row r="234" spans="1:7" x14ac:dyDescent="0.2">
      <c r="A234" t="s">
        <v>244</v>
      </c>
      <c r="B234" t="s">
        <v>617</v>
      </c>
      <c r="C234" t="s">
        <v>800</v>
      </c>
      <c r="D234" t="str" cm="1">
        <f t="array" ref="D234">_xlfn.LET(
    _xlpm.searchText, B234,
    _xlpm.matchIndex, MATCH(TRUE, INDEX(ISNUMBER(SEARCH(E:E, _xlpm.searchText)), 0), 0),
    IF(ISNA(_xlpm.matchIndex), "",
       INDEX(F:F, _xlpm.matchIndex)
    )
)</f>
        <v>FliF</v>
      </c>
      <c r="G234" t="str">
        <f t="shared" si="3"/>
        <v>Thioalkalivibrio</v>
      </c>
    </row>
    <row r="235" spans="1:7" x14ac:dyDescent="0.2">
      <c r="A235" t="s">
        <v>245</v>
      </c>
      <c r="B235" t="s">
        <v>603</v>
      </c>
      <c r="C235" t="s">
        <v>801</v>
      </c>
      <c r="D235" t="str" cm="1">
        <f t="array" ref="D235">_xlfn.LET(
    _xlpm.searchText, B235,
    _xlpm.matchIndex, MATCH(TRUE, INDEX(ISNUMBER(SEARCH(E:E, _xlpm.searchText)), 0), 0),
    IF(ISNA(_xlpm.matchIndex), "",
       INDEX(F:F, _xlpm.matchIndex)
    )
)</f>
        <v>FliF</v>
      </c>
      <c r="G235" t="str">
        <f t="shared" si="3"/>
        <v>Caulobacter</v>
      </c>
    </row>
    <row r="236" spans="1:7" x14ac:dyDescent="0.2">
      <c r="A236" t="s">
        <v>246</v>
      </c>
      <c r="B236" t="s">
        <v>620</v>
      </c>
      <c r="C236" t="s">
        <v>802</v>
      </c>
      <c r="D236" t="str" cm="1">
        <f t="array" ref="D236">_xlfn.LET(
    _xlpm.searchText, B236,
    _xlpm.matchIndex, MATCH(TRUE, INDEX(ISNUMBER(SEARCH(E:E, _xlpm.searchText)), 0), 0),
    IF(ISNA(_xlpm.matchIndex), "",
       INDEX(F:F, _xlpm.matchIndex)
    )
)</f>
        <v>T3SS_YscJ</v>
      </c>
      <c r="G236" t="str">
        <f t="shared" si="3"/>
        <v>Anaeromyxobacter</v>
      </c>
    </row>
    <row r="237" spans="1:7" x14ac:dyDescent="0.2">
      <c r="A237" t="s">
        <v>247</v>
      </c>
      <c r="B237" t="s">
        <v>603</v>
      </c>
      <c r="C237" t="s">
        <v>802</v>
      </c>
      <c r="D237" t="str" cm="1">
        <f t="array" ref="D237">_xlfn.LET(
    _xlpm.searchText, B237,
    _xlpm.matchIndex, MATCH(TRUE, INDEX(ISNUMBER(SEARCH(E:E, _xlpm.searchText)), 0), 0),
    IF(ISNA(_xlpm.matchIndex), "",
       INDEX(F:F, _xlpm.matchIndex)
    )
)</f>
        <v>FliF</v>
      </c>
      <c r="G237" t="str">
        <f t="shared" si="3"/>
        <v>Anaeromyxobacter</v>
      </c>
    </row>
    <row r="238" spans="1:7" x14ac:dyDescent="0.2">
      <c r="A238" t="s">
        <v>248</v>
      </c>
      <c r="B238" t="s">
        <v>603</v>
      </c>
      <c r="C238" t="s">
        <v>803</v>
      </c>
      <c r="D238" t="str" cm="1">
        <f t="array" ref="D238">_xlfn.LET(
    _xlpm.searchText, B238,
    _xlpm.matchIndex, MATCH(TRUE, INDEX(ISNUMBER(SEARCH(E:E, _xlpm.searchText)), 0), 0),
    IF(ISNA(_xlpm.matchIndex), "",
       INDEX(F:F, _xlpm.matchIndex)
    )
)</f>
        <v>FliF</v>
      </c>
      <c r="G238" t="str">
        <f t="shared" si="3"/>
        <v>Acidobacterium</v>
      </c>
    </row>
    <row r="239" spans="1:7" x14ac:dyDescent="0.2">
      <c r="A239" t="s">
        <v>249</v>
      </c>
      <c r="B239" t="s">
        <v>613</v>
      </c>
      <c r="C239" t="s">
        <v>804</v>
      </c>
      <c r="D239" t="str" cm="1">
        <f t="array" ref="D239">_xlfn.LET(
    _xlpm.searchText, B239,
    _xlpm.matchIndex, MATCH(TRUE, INDEX(ISNUMBER(SEARCH(E:E, _xlpm.searchText)), 0), 0),
    IF(ISNA(_xlpm.matchIndex), "",
       INDEX(F:F, _xlpm.matchIndex)
    )
)</f>
        <v>T3SS_YscJ_HrcJ</v>
      </c>
      <c r="G239" t="str">
        <f t="shared" si="3"/>
        <v>Pectobacterium</v>
      </c>
    </row>
    <row r="240" spans="1:7" x14ac:dyDescent="0.2">
      <c r="A240" t="s">
        <v>250</v>
      </c>
      <c r="B240" t="s">
        <v>603</v>
      </c>
      <c r="C240" t="s">
        <v>804</v>
      </c>
      <c r="D240" t="str" cm="1">
        <f t="array" ref="D240">_xlfn.LET(
    _xlpm.searchText, B240,
    _xlpm.matchIndex, MATCH(TRUE, INDEX(ISNUMBER(SEARCH(E:E, _xlpm.searchText)), 0), 0),
    IF(ISNA(_xlpm.matchIndex), "",
       INDEX(F:F, _xlpm.matchIndex)
    )
)</f>
        <v>FliF</v>
      </c>
      <c r="G240" t="str">
        <f t="shared" si="3"/>
        <v>Pectobacterium</v>
      </c>
    </row>
    <row r="241" spans="1:7" x14ac:dyDescent="0.2">
      <c r="A241" t="s">
        <v>251</v>
      </c>
      <c r="B241" t="s">
        <v>603</v>
      </c>
      <c r="C241" t="s">
        <v>805</v>
      </c>
      <c r="D241" t="str" cm="1">
        <f t="array" ref="D241">_xlfn.LET(
    _xlpm.searchText, B241,
    _xlpm.matchIndex, MATCH(TRUE, INDEX(ISNUMBER(SEARCH(E:E, _xlpm.searchText)), 0), 0),
    IF(ISNA(_xlpm.matchIndex), "",
       INDEX(F:F, _xlpm.matchIndex)
    )
)</f>
        <v>FliF</v>
      </c>
      <c r="G241" t="str">
        <f t="shared" si="3"/>
        <v>Methylotenera</v>
      </c>
    </row>
    <row r="242" spans="1:7" x14ac:dyDescent="0.2">
      <c r="A242" t="s">
        <v>252</v>
      </c>
      <c r="B242" t="s">
        <v>603</v>
      </c>
      <c r="C242" t="s">
        <v>806</v>
      </c>
      <c r="D242" t="str" cm="1">
        <f t="array" ref="D242">_xlfn.LET(
    _xlpm.searchText, B242,
    _xlpm.matchIndex, MATCH(TRUE, INDEX(ISNUMBER(SEARCH(E:E, _xlpm.searchText)), 0), 0),
    IF(ISNA(_xlpm.matchIndex), "",
       INDEX(F:F, _xlpm.matchIndex)
    )
)</f>
        <v>FliF</v>
      </c>
      <c r="G242" t="str">
        <f t="shared" si="3"/>
        <v>Zymomonas</v>
      </c>
    </row>
    <row r="243" spans="1:7" x14ac:dyDescent="0.2">
      <c r="A243" t="s">
        <v>253</v>
      </c>
      <c r="B243" t="s">
        <v>603</v>
      </c>
      <c r="C243" t="s">
        <v>807</v>
      </c>
      <c r="D243" t="str" cm="1">
        <f t="array" ref="D243">_xlfn.LET(
    _xlpm.searchText, B243,
    _xlpm.matchIndex, MATCH(TRUE, INDEX(ISNUMBER(SEARCH(E:E, _xlpm.searchText)), 0), 0),
    IF(ISNA(_xlpm.matchIndex), "",
       INDEX(F:F, _xlpm.matchIndex)
    )
)</f>
        <v>FliF</v>
      </c>
      <c r="G243" t="str">
        <f t="shared" si="3"/>
        <v>Desulfohalobium</v>
      </c>
    </row>
    <row r="244" spans="1:7" x14ac:dyDescent="0.2">
      <c r="A244" t="s">
        <v>254</v>
      </c>
      <c r="B244" t="s">
        <v>603</v>
      </c>
      <c r="C244" t="s">
        <v>808</v>
      </c>
      <c r="D244" t="str" cm="1">
        <f t="array" ref="D244">_xlfn.LET(
    _xlpm.searchText, B244,
    _xlpm.matchIndex, MATCH(TRUE, INDEX(ISNUMBER(SEARCH(E:E, _xlpm.searchText)), 0), 0),
    IF(ISNA(_xlpm.matchIndex), "",
       INDEX(F:F, _xlpm.matchIndex)
    )
)</f>
        <v>FliF</v>
      </c>
      <c r="G244" t="str">
        <f t="shared" si="3"/>
        <v>Candidatus</v>
      </c>
    </row>
    <row r="245" spans="1:7" x14ac:dyDescent="0.2">
      <c r="A245" t="s">
        <v>255</v>
      </c>
      <c r="B245" t="s">
        <v>603</v>
      </c>
      <c r="C245" t="s">
        <v>809</v>
      </c>
      <c r="D245" t="str" cm="1">
        <f t="array" ref="D245">_xlfn.LET(
    _xlpm.searchText, B245,
    _xlpm.matchIndex, MATCH(TRUE, INDEX(ISNUMBER(SEARCH(E:E, _xlpm.searchText)), 0), 0),
    IF(ISNA(_xlpm.matchIndex), "",
       INDEX(F:F, _xlpm.matchIndex)
    )
)</f>
        <v>FliF</v>
      </c>
      <c r="G245" t="str">
        <f t="shared" si="3"/>
        <v>Thermanaerovibrio</v>
      </c>
    </row>
    <row r="246" spans="1:7" x14ac:dyDescent="0.2">
      <c r="A246" t="s">
        <v>256</v>
      </c>
      <c r="B246" t="s">
        <v>603</v>
      </c>
      <c r="C246" t="s">
        <v>810</v>
      </c>
      <c r="D246" t="str" cm="1">
        <f t="array" ref="D246">_xlfn.LET(
    _xlpm.searchText, B246,
    _xlpm.matchIndex, MATCH(TRUE, INDEX(ISNUMBER(SEARCH(E:E, _xlpm.searchText)), 0), 0),
    IF(ISNA(_xlpm.matchIndex), "",
       INDEX(F:F, _xlpm.matchIndex)
    )
)</f>
        <v>FliF</v>
      </c>
      <c r="G246" t="str">
        <f t="shared" si="3"/>
        <v>Thermocrinis</v>
      </c>
    </row>
    <row r="247" spans="1:7" x14ac:dyDescent="0.2">
      <c r="A247" t="s">
        <v>257</v>
      </c>
      <c r="B247" t="s">
        <v>603</v>
      </c>
      <c r="C247" t="s">
        <v>811</v>
      </c>
      <c r="D247" t="str" cm="1">
        <f t="array" ref="D247">_xlfn.LET(
    _xlpm.searchText, B247,
    _xlpm.matchIndex, MATCH(TRUE, INDEX(ISNUMBER(SEARCH(E:E, _xlpm.searchText)), 0), 0),
    IF(ISNA(_xlpm.matchIndex), "",
       INDEX(F:F, _xlpm.matchIndex)
    )
)</f>
        <v>FliF</v>
      </c>
      <c r="G247" t="str">
        <f t="shared" si="3"/>
        <v>Sideroxydans</v>
      </c>
    </row>
    <row r="248" spans="1:7" x14ac:dyDescent="0.2">
      <c r="A248" t="s">
        <v>258</v>
      </c>
      <c r="B248" t="s">
        <v>603</v>
      </c>
      <c r="C248" t="s">
        <v>812</v>
      </c>
      <c r="D248" t="str" cm="1">
        <f t="array" ref="D248">_xlfn.LET(
    _xlpm.searchText, B248,
    _xlpm.matchIndex, MATCH(TRUE, INDEX(ISNUMBER(SEARCH(E:E, _xlpm.searchText)), 0), 0),
    IF(ISNA(_xlpm.matchIndex), "",
       INDEX(F:F, _xlpm.matchIndex)
    )
)</f>
        <v>FliF</v>
      </c>
      <c r="G248" t="str">
        <f t="shared" si="3"/>
        <v>Denitrovibrio</v>
      </c>
    </row>
    <row r="249" spans="1:7" x14ac:dyDescent="0.2">
      <c r="A249" t="s">
        <v>259</v>
      </c>
      <c r="B249" t="s">
        <v>621</v>
      </c>
      <c r="C249" t="s">
        <v>813</v>
      </c>
      <c r="D249" t="str" cm="1">
        <f t="array" ref="D249">_xlfn.LET(
    _xlpm.searchText, B249,
    _xlpm.matchIndex, MATCH(TRUE, INDEX(ISNUMBER(SEARCH(E:E, _xlpm.searchText)), 0), 0),
    IF(ISNA(_xlpm.matchIndex), "",
       INDEX(F:F, _xlpm.matchIndex)
    )
)</f>
        <v>FliF</v>
      </c>
      <c r="G249" t="str">
        <f t="shared" si="3"/>
        <v>Desulfotalea</v>
      </c>
    </row>
    <row r="250" spans="1:7" x14ac:dyDescent="0.2">
      <c r="A250" t="s">
        <v>260</v>
      </c>
      <c r="B250" t="s">
        <v>622</v>
      </c>
      <c r="C250" t="s">
        <v>814</v>
      </c>
      <c r="D250" t="str" cm="1">
        <f t="array" ref="D250">_xlfn.LET(
    _xlpm.searchText, B250,
    _xlpm.matchIndex, MATCH(TRUE, INDEX(ISNUMBER(SEARCH(E:E, _xlpm.searchText)), 0), 0),
    IF(ISNA(_xlpm.matchIndex), "",
       INDEX(F:F, _xlpm.matchIndex)
    )
)</f>
        <v>FliF</v>
      </c>
      <c r="G250" t="str">
        <f t="shared" si="3"/>
        <v>Escherichia</v>
      </c>
    </row>
    <row r="251" spans="1:7" x14ac:dyDescent="0.2">
      <c r="A251" t="s">
        <v>261</v>
      </c>
      <c r="B251" t="s">
        <v>623</v>
      </c>
      <c r="C251" t="s">
        <v>814</v>
      </c>
      <c r="D251" t="str" cm="1">
        <f t="array" ref="D251">_xlfn.LET(
    _xlpm.searchText, B251,
    _xlpm.matchIndex, MATCH(TRUE, INDEX(ISNUMBER(SEARCH(E:E, _xlpm.searchText)), 0), 0),
    IF(ISNA(_xlpm.matchIndex), "",
       INDEX(F:F, _xlpm.matchIndex)
    )
)</f>
        <v>T3SS</v>
      </c>
      <c r="G251" t="str">
        <f t="shared" si="3"/>
        <v>Escherichia</v>
      </c>
    </row>
    <row r="252" spans="1:7" x14ac:dyDescent="0.2">
      <c r="A252" t="s">
        <v>262</v>
      </c>
      <c r="B252" t="s">
        <v>595</v>
      </c>
      <c r="C252" t="s">
        <v>815</v>
      </c>
      <c r="D252" t="str" cm="1">
        <f t="array" ref="D252">_xlfn.LET(
    _xlpm.searchText, B252,
    _xlpm.matchIndex, MATCH(TRUE, INDEX(ISNUMBER(SEARCH(E:E, _xlpm.searchText)), 0), 0),
    IF(ISNA(_xlpm.matchIndex), "",
       INDEX(F:F, _xlpm.matchIndex)
    )
)</f>
        <v>FliF</v>
      </c>
      <c r="G252" t="str">
        <f t="shared" si="3"/>
        <v>Erwinia</v>
      </c>
    </row>
    <row r="253" spans="1:7" x14ac:dyDescent="0.2">
      <c r="A253" t="s">
        <v>263</v>
      </c>
      <c r="B253" t="s">
        <v>624</v>
      </c>
      <c r="C253" t="s">
        <v>815</v>
      </c>
      <c r="D253" t="str" cm="1">
        <f t="array" ref="D253">_xlfn.LET(
    _xlpm.searchText, B253,
    _xlpm.matchIndex, MATCH(TRUE, INDEX(ISNUMBER(SEARCH(E:E, _xlpm.searchText)), 0), 0),
    IF(ISNA(_xlpm.matchIndex), "",
       INDEX(F:F, _xlpm.matchIndex)
    )
)</f>
        <v>T3SS</v>
      </c>
      <c r="G253" t="str">
        <f t="shared" si="3"/>
        <v>Erwinia</v>
      </c>
    </row>
    <row r="254" spans="1:7" x14ac:dyDescent="0.2">
      <c r="A254" t="s">
        <v>264</v>
      </c>
      <c r="B254" t="s">
        <v>595</v>
      </c>
      <c r="C254" t="s">
        <v>815</v>
      </c>
      <c r="D254" t="str" cm="1">
        <f t="array" ref="D254">_xlfn.LET(
    _xlpm.searchText, B254,
    _xlpm.matchIndex, MATCH(TRUE, INDEX(ISNUMBER(SEARCH(E:E, _xlpm.searchText)), 0), 0),
    IF(ISNA(_xlpm.matchIndex), "",
       INDEX(F:F, _xlpm.matchIndex)
    )
)</f>
        <v>FliF</v>
      </c>
      <c r="G254" t="str">
        <f t="shared" si="3"/>
        <v>Erwinia</v>
      </c>
    </row>
    <row r="255" spans="1:7" x14ac:dyDescent="0.2">
      <c r="A255" t="s">
        <v>265</v>
      </c>
      <c r="B255" t="s">
        <v>623</v>
      </c>
      <c r="C255" t="s">
        <v>815</v>
      </c>
      <c r="D255" t="str" cm="1">
        <f t="array" ref="D255">_xlfn.LET(
    _xlpm.searchText, B255,
    _xlpm.matchIndex, MATCH(TRUE, INDEX(ISNUMBER(SEARCH(E:E, _xlpm.searchText)), 0), 0),
    IF(ISNA(_xlpm.matchIndex), "",
       INDEX(F:F, _xlpm.matchIndex)
    )
)</f>
        <v>T3SS</v>
      </c>
      <c r="G255" t="str">
        <f t="shared" si="3"/>
        <v>Erwinia</v>
      </c>
    </row>
    <row r="256" spans="1:7" x14ac:dyDescent="0.2">
      <c r="A256" t="s">
        <v>266</v>
      </c>
      <c r="B256" t="s">
        <v>623</v>
      </c>
      <c r="C256" t="s">
        <v>815</v>
      </c>
      <c r="D256" t="str" cm="1">
        <f t="array" ref="D256">_xlfn.LET(
    _xlpm.searchText, B256,
    _xlpm.matchIndex, MATCH(TRUE, INDEX(ISNUMBER(SEARCH(E:E, _xlpm.searchText)), 0), 0),
    IF(ISNA(_xlpm.matchIndex), "",
       INDEX(F:F, _xlpm.matchIndex)
    )
)</f>
        <v>T3SS</v>
      </c>
      <c r="G256" t="str">
        <f t="shared" si="3"/>
        <v>Erwinia</v>
      </c>
    </row>
    <row r="257" spans="1:7" x14ac:dyDescent="0.2">
      <c r="A257" t="s">
        <v>267</v>
      </c>
      <c r="B257" t="s">
        <v>625</v>
      </c>
      <c r="C257" t="s">
        <v>816</v>
      </c>
      <c r="D257" t="str" cm="1">
        <f t="array" ref="D257">_xlfn.LET(
    _xlpm.searchText, B257,
    _xlpm.matchIndex, MATCH(TRUE, INDEX(ISNUMBER(SEARCH(E:E, _xlpm.searchText)), 0), 0),
    IF(ISNA(_xlpm.matchIndex), "",
       INDEX(F:F, _xlpm.matchIndex)
    )
)</f>
        <v>T3SS_SctJ</v>
      </c>
      <c r="G257" t="str">
        <f t="shared" si="3"/>
        <v>Cupriavidus</v>
      </c>
    </row>
    <row r="258" spans="1:7" x14ac:dyDescent="0.2">
      <c r="A258" t="s">
        <v>268</v>
      </c>
      <c r="B258" t="s">
        <v>626</v>
      </c>
      <c r="C258" t="s">
        <v>816</v>
      </c>
      <c r="D258" t="str" cm="1">
        <f t="array" ref="D258">_xlfn.LET(
    _xlpm.searchText, B258,
    _xlpm.matchIndex, MATCH(TRUE, INDEX(ISNUMBER(SEARCH(E:E, _xlpm.searchText)), 0), 0),
    IF(ISNA(_xlpm.matchIndex), "",
       INDEX(F:F, _xlpm.matchIndex)
    )
)</f>
        <v>FliF</v>
      </c>
      <c r="G258" t="str">
        <f t="shared" si="3"/>
        <v>Cupriavidus</v>
      </c>
    </row>
    <row r="259" spans="1:7" x14ac:dyDescent="0.2">
      <c r="A259" t="s">
        <v>269</v>
      </c>
      <c r="B259" t="s">
        <v>595</v>
      </c>
      <c r="C259" t="s">
        <v>817</v>
      </c>
      <c r="D259" t="str" cm="1">
        <f t="array" ref="D259">_xlfn.LET(
    _xlpm.searchText, B259,
    _xlpm.matchIndex, MATCH(TRUE, INDEX(ISNUMBER(SEARCH(E:E, _xlpm.searchText)), 0), 0),
    IF(ISNA(_xlpm.matchIndex), "",
       INDEX(F:F, _xlpm.matchIndex)
    )
)</f>
        <v>FliF</v>
      </c>
      <c r="G259" t="str">
        <f t="shared" si="3"/>
        <v>Bordetella</v>
      </c>
    </row>
    <row r="260" spans="1:7" x14ac:dyDescent="0.2">
      <c r="A260" t="s">
        <v>270</v>
      </c>
      <c r="B260" t="s">
        <v>603</v>
      </c>
      <c r="C260" t="s">
        <v>818</v>
      </c>
      <c r="D260" t="str" cm="1">
        <f t="array" ref="D260">_xlfn.LET(
    _xlpm.searchText, B260,
    _xlpm.matchIndex, MATCH(TRUE, INDEX(ISNUMBER(SEARCH(E:E, _xlpm.searchText)), 0), 0),
    IF(ISNA(_xlpm.matchIndex), "",
       INDEX(F:F, _xlpm.matchIndex)
    )
)</f>
        <v>FliF</v>
      </c>
      <c r="G260" t="str">
        <f t="shared" ref="G260:G323" si="4">IFERROR(_xlfn.TEXTBEFORE(C260, " "), C260)</f>
        <v>Shewanella</v>
      </c>
    </row>
    <row r="261" spans="1:7" x14ac:dyDescent="0.2">
      <c r="A261" t="s">
        <v>271</v>
      </c>
      <c r="B261" t="s">
        <v>601</v>
      </c>
      <c r="C261" t="s">
        <v>818</v>
      </c>
      <c r="D261" t="str" cm="1">
        <f t="array" ref="D261">_xlfn.LET(
    _xlpm.searchText, B261,
    _xlpm.matchIndex, MATCH(TRUE, INDEX(ISNUMBER(SEARCH(E:E, _xlpm.searchText)), 0), 0),
    IF(ISNA(_xlpm.matchIndex), "",
       INDEX(F:F, _xlpm.matchIndex)
    )
)</f>
        <v>T3SS</v>
      </c>
      <c r="G261" t="str">
        <f t="shared" si="4"/>
        <v>Shewanella</v>
      </c>
    </row>
    <row r="262" spans="1:7" x14ac:dyDescent="0.2">
      <c r="A262" t="s">
        <v>272</v>
      </c>
      <c r="B262" t="s">
        <v>595</v>
      </c>
      <c r="C262" t="s">
        <v>819</v>
      </c>
      <c r="D262" t="str" cm="1">
        <f t="array" ref="D262">_xlfn.LET(
    _xlpm.searchText, B262,
    _xlpm.matchIndex, MATCH(TRUE, INDEX(ISNUMBER(SEARCH(E:E, _xlpm.searchText)), 0), 0),
    IF(ISNA(_xlpm.matchIndex), "",
       INDEX(F:F, _xlpm.matchIndex)
    )
)</f>
        <v>FliF</v>
      </c>
      <c r="G262" t="str">
        <f t="shared" si="4"/>
        <v>Agrobacterium</v>
      </c>
    </row>
    <row r="263" spans="1:7" x14ac:dyDescent="0.2">
      <c r="A263" t="s">
        <v>273</v>
      </c>
      <c r="B263" t="s">
        <v>603</v>
      </c>
      <c r="C263" t="s">
        <v>820</v>
      </c>
      <c r="D263" t="str" cm="1">
        <f t="array" ref="D263">_xlfn.LET(
    _xlpm.searchText, B263,
    _xlpm.matchIndex, MATCH(TRUE, INDEX(ISNUMBER(SEARCH(E:E, _xlpm.searchText)), 0), 0),
    IF(ISNA(_xlpm.matchIndex), "",
       INDEX(F:F, _xlpm.matchIndex)
    )
)</f>
        <v>FliF</v>
      </c>
      <c r="G263" t="str">
        <f t="shared" si="4"/>
        <v>Arcobacter</v>
      </c>
    </row>
    <row r="264" spans="1:7" x14ac:dyDescent="0.2">
      <c r="A264" t="s">
        <v>274</v>
      </c>
      <c r="B264" t="s">
        <v>603</v>
      </c>
      <c r="C264" t="s">
        <v>821</v>
      </c>
      <c r="D264" t="str" cm="1">
        <f t="array" ref="D264">_xlfn.LET(
    _xlpm.searchText, B264,
    _xlpm.matchIndex, MATCH(TRUE, INDEX(ISNUMBER(SEARCH(E:E, _xlpm.searchText)), 0), 0),
    IF(ISNA(_xlpm.matchIndex), "",
       INDEX(F:F, _xlpm.matchIndex)
    )
)</f>
        <v>FliF</v>
      </c>
      <c r="G264" t="str">
        <f t="shared" si="4"/>
        <v>Brevundimonas</v>
      </c>
    </row>
    <row r="265" spans="1:7" x14ac:dyDescent="0.2">
      <c r="A265" t="s">
        <v>275</v>
      </c>
      <c r="B265" t="s">
        <v>603</v>
      </c>
      <c r="C265" t="s">
        <v>746</v>
      </c>
      <c r="D265" t="str" cm="1">
        <f t="array" ref="D265">_xlfn.LET(
    _xlpm.searchText, B265,
    _xlpm.matchIndex, MATCH(TRUE, INDEX(ISNUMBER(SEARCH(E:E, _xlpm.searchText)), 0), 0),
    IF(ISNA(_xlpm.matchIndex), "",
       INDEX(F:F, _xlpm.matchIndex)
    )
)</f>
        <v>FliF</v>
      </c>
      <c r="G265" t="str">
        <f t="shared" si="4"/>
        <v>Caldicellulosiruptor</v>
      </c>
    </row>
    <row r="266" spans="1:7" x14ac:dyDescent="0.2">
      <c r="A266" t="s">
        <v>276</v>
      </c>
      <c r="B266" t="s">
        <v>627</v>
      </c>
      <c r="C266" t="s">
        <v>822</v>
      </c>
      <c r="D266" t="str" cm="1">
        <f t="array" ref="D266">_xlfn.LET(
    _xlpm.searchText, B266,
    _xlpm.matchIndex, MATCH(TRUE, INDEX(ISNUMBER(SEARCH(E:E, _xlpm.searchText)), 0), 0),
    IF(ISNA(_xlpm.matchIndex), "",
       INDEX(F:F, _xlpm.matchIndex)
    )
)</f>
        <v>FliF</v>
      </c>
      <c r="G266" t="str">
        <f t="shared" si="4"/>
        <v>Shewanella</v>
      </c>
    </row>
    <row r="267" spans="1:7" x14ac:dyDescent="0.2">
      <c r="A267" t="s">
        <v>277</v>
      </c>
      <c r="B267" t="s">
        <v>603</v>
      </c>
      <c r="C267" t="s">
        <v>823</v>
      </c>
      <c r="D267" t="str" cm="1">
        <f t="array" ref="D267">_xlfn.LET(
    _xlpm.searchText, B267,
    _xlpm.matchIndex, MATCH(TRUE, INDEX(ISNUMBER(SEARCH(E:E, _xlpm.searchText)), 0), 0),
    IF(ISNA(_xlpm.matchIndex), "",
       INDEX(F:F, _xlpm.matchIndex)
    )
)</f>
        <v>FliF</v>
      </c>
      <c r="G267" t="str">
        <f t="shared" si="4"/>
        <v>Sulfurimonas</v>
      </c>
    </row>
    <row r="268" spans="1:7" x14ac:dyDescent="0.2">
      <c r="A268" t="s">
        <v>278</v>
      </c>
      <c r="B268" t="s">
        <v>595</v>
      </c>
      <c r="C268" t="s">
        <v>824</v>
      </c>
      <c r="D268" t="str" cm="1">
        <f t="array" ref="D268">_xlfn.LET(
    _xlpm.searchText, B268,
    _xlpm.matchIndex, MATCH(TRUE, INDEX(ISNUMBER(SEARCH(E:E, _xlpm.searchText)), 0), 0),
    IF(ISNA(_xlpm.matchIndex), "",
       INDEX(F:F, _xlpm.matchIndex)
    )
)</f>
        <v>FliF</v>
      </c>
      <c r="G268" t="str">
        <f t="shared" si="4"/>
        <v>Vibrio</v>
      </c>
    </row>
    <row r="269" spans="1:7" x14ac:dyDescent="0.2">
      <c r="A269" t="s">
        <v>279</v>
      </c>
      <c r="B269" t="s">
        <v>595</v>
      </c>
      <c r="C269" t="s">
        <v>825</v>
      </c>
      <c r="D269" t="str" cm="1">
        <f t="array" ref="D269">_xlfn.LET(
    _xlpm.searchText, B269,
    _xlpm.matchIndex, MATCH(TRUE, INDEX(ISNUMBER(SEARCH(E:E, _xlpm.searchText)), 0), 0),
    IF(ISNA(_xlpm.matchIndex), "",
       INDEX(F:F, _xlpm.matchIndex)
    )
)</f>
        <v>FliF</v>
      </c>
      <c r="G269" t="str">
        <f t="shared" si="4"/>
        <v>Pseudoalteromonas</v>
      </c>
    </row>
    <row r="270" spans="1:7" x14ac:dyDescent="0.2">
      <c r="A270" t="s">
        <v>280</v>
      </c>
      <c r="B270" t="s">
        <v>628</v>
      </c>
      <c r="C270" t="s">
        <v>826</v>
      </c>
      <c r="D270" t="str" cm="1">
        <f t="array" ref="D270">_xlfn.LET(
    _xlpm.searchText, B270,
    _xlpm.matchIndex, MATCH(TRUE, INDEX(ISNUMBER(SEARCH(E:E, _xlpm.searchText)), 0), 0),
    IF(ISNA(_xlpm.matchIndex), "",
       INDEX(F:F, _xlpm.matchIndex)
    )
)</f>
        <v>T3SS</v>
      </c>
      <c r="G270" t="str">
        <f t="shared" si="4"/>
        <v>Vibrio</v>
      </c>
    </row>
    <row r="271" spans="1:7" x14ac:dyDescent="0.2">
      <c r="A271" t="s">
        <v>281</v>
      </c>
      <c r="B271" t="s">
        <v>595</v>
      </c>
      <c r="C271" t="s">
        <v>826</v>
      </c>
      <c r="D271" t="str" cm="1">
        <f t="array" ref="D271">_xlfn.LET(
    _xlpm.searchText, B271,
    _xlpm.matchIndex, MATCH(TRUE, INDEX(ISNUMBER(SEARCH(E:E, _xlpm.searchText)), 0), 0),
    IF(ISNA(_xlpm.matchIndex), "",
       INDEX(F:F, _xlpm.matchIndex)
    )
)</f>
        <v>FliF</v>
      </c>
      <c r="G271" t="str">
        <f t="shared" si="4"/>
        <v>Vibrio</v>
      </c>
    </row>
    <row r="272" spans="1:7" x14ac:dyDescent="0.2">
      <c r="A272" t="s">
        <v>282</v>
      </c>
      <c r="B272" t="s">
        <v>595</v>
      </c>
      <c r="C272" t="s">
        <v>826</v>
      </c>
      <c r="D272" t="str" cm="1">
        <f t="array" ref="D272">_xlfn.LET(
    _xlpm.searchText, B272,
    _xlpm.matchIndex, MATCH(TRUE, INDEX(ISNUMBER(SEARCH(E:E, _xlpm.searchText)), 0), 0),
    IF(ISNA(_xlpm.matchIndex), "",
       INDEX(F:F, _xlpm.matchIndex)
    )
)</f>
        <v>FliF</v>
      </c>
      <c r="G272" t="str">
        <f t="shared" si="4"/>
        <v>Vibrio</v>
      </c>
    </row>
    <row r="273" spans="1:7" x14ac:dyDescent="0.2">
      <c r="A273" t="s">
        <v>283</v>
      </c>
      <c r="B273" t="s">
        <v>629</v>
      </c>
      <c r="C273" t="s">
        <v>827</v>
      </c>
      <c r="D273" t="str" cm="1">
        <f t="array" ref="D273">_xlfn.LET(
    _xlpm.searchText, B273,
    _xlpm.matchIndex, MATCH(TRUE, INDEX(ISNUMBER(SEARCH(E:E, _xlpm.searchText)), 0), 0),
    IF(ISNA(_xlpm.matchIndex), "",
       INDEX(F:F, _xlpm.matchIndex)
    )
)</f>
        <v>FliF</v>
      </c>
      <c r="G273" t="str">
        <f t="shared" si="4"/>
        <v>Octadecabacter</v>
      </c>
    </row>
    <row r="274" spans="1:7" x14ac:dyDescent="0.2">
      <c r="A274" t="s">
        <v>284</v>
      </c>
      <c r="B274" t="s">
        <v>630</v>
      </c>
      <c r="C274" t="s">
        <v>828</v>
      </c>
      <c r="D274" t="str" cm="1">
        <f t="array" ref="D274">_xlfn.LET(
    _xlpm.searchText, B274,
    _xlpm.matchIndex, MATCH(TRUE, INDEX(ISNUMBER(SEARCH(E:E, _xlpm.searchText)), 0), 0),
    IF(ISNA(_xlpm.matchIndex), "",
       INDEX(F:F, _xlpm.matchIndex)
    )
)</f>
        <v>T3SS_YscJ_HrcJ</v>
      </c>
      <c r="G274" t="str">
        <f t="shared" si="4"/>
        <v>Stigmatella</v>
      </c>
    </row>
    <row r="275" spans="1:7" x14ac:dyDescent="0.2">
      <c r="A275" t="s">
        <v>285</v>
      </c>
      <c r="B275" t="s">
        <v>631</v>
      </c>
      <c r="C275" t="s">
        <v>828</v>
      </c>
      <c r="D275" t="str" cm="1">
        <f t="array" ref="D275">_xlfn.LET(
    _xlpm.searchText, B275,
    _xlpm.matchIndex, MATCH(TRUE, INDEX(ISNUMBER(SEARCH(E:E, _xlpm.searchText)), 0), 0),
    IF(ISNA(_xlpm.matchIndex), "",
       INDEX(F:F, _xlpm.matchIndex)
    )
)</f>
        <v>T3SS</v>
      </c>
      <c r="G275" t="str">
        <f t="shared" si="4"/>
        <v>Stigmatella</v>
      </c>
    </row>
    <row r="276" spans="1:7" x14ac:dyDescent="0.2">
      <c r="A276" t="s">
        <v>286</v>
      </c>
      <c r="B276" t="s">
        <v>584</v>
      </c>
      <c r="C276" t="s">
        <v>829</v>
      </c>
      <c r="D276" t="str" cm="1">
        <f t="array" ref="D276">_xlfn.LET(
    _xlpm.searchText, B276,
    _xlpm.matchIndex, MATCH(TRUE, INDEX(ISNUMBER(SEARCH(E:E, _xlpm.searchText)), 0), 0),
    IF(ISNA(_xlpm.matchIndex), "",
       INDEX(F:F, _xlpm.matchIndex)
    )
)</f>
        <v>FliF</v>
      </c>
      <c r="G276" t="str">
        <f t="shared" si="4"/>
        <v>Marinobacter</v>
      </c>
    </row>
    <row r="277" spans="1:7" x14ac:dyDescent="0.2">
      <c r="A277" t="s">
        <v>287</v>
      </c>
      <c r="B277" t="s">
        <v>605</v>
      </c>
      <c r="C277" t="s">
        <v>830</v>
      </c>
      <c r="D277" t="str" cm="1">
        <f t="array" ref="D277">_xlfn.LET(
    _xlpm.searchText, B277,
    _xlpm.matchIndex, MATCH(TRUE, INDEX(ISNUMBER(SEARCH(E:E, _xlpm.searchText)), 0), 0),
    IF(ISNA(_xlpm.matchIndex), "",
       INDEX(F:F, _xlpm.matchIndex)
    )
)</f>
        <v>FliF</v>
      </c>
      <c r="G277" t="str">
        <f t="shared" si="4"/>
        <v>Yersinia</v>
      </c>
    </row>
    <row r="278" spans="1:7" x14ac:dyDescent="0.2">
      <c r="A278" t="s">
        <v>288</v>
      </c>
      <c r="B278" t="s">
        <v>605</v>
      </c>
      <c r="C278" t="s">
        <v>830</v>
      </c>
      <c r="D278" t="str" cm="1">
        <f t="array" ref="D278">_xlfn.LET(
    _xlpm.searchText, B278,
    _xlpm.matchIndex, MATCH(TRUE, INDEX(ISNUMBER(SEARCH(E:E, _xlpm.searchText)), 0), 0),
    IF(ISNA(_xlpm.matchIndex), "",
       INDEX(F:F, _xlpm.matchIndex)
    )
)</f>
        <v>FliF</v>
      </c>
      <c r="G278" t="str">
        <f t="shared" si="4"/>
        <v>Yersinia</v>
      </c>
    </row>
    <row r="279" spans="1:7" x14ac:dyDescent="0.2">
      <c r="A279" t="s">
        <v>289</v>
      </c>
      <c r="B279" t="s">
        <v>632</v>
      </c>
      <c r="C279" t="s">
        <v>830</v>
      </c>
      <c r="D279" t="str" cm="1">
        <f t="array" ref="D279">_xlfn.LET(
    _xlpm.searchText, B279,
    _xlpm.matchIndex, MATCH(TRUE, INDEX(ISNUMBER(SEARCH(E:E, _xlpm.searchText)), 0), 0),
    IF(ISNA(_xlpm.matchIndex), "",
       INDEX(F:F, _xlpm.matchIndex)
    )
)</f>
        <v>T3SS</v>
      </c>
      <c r="G279" t="str">
        <f t="shared" si="4"/>
        <v>Yersinia</v>
      </c>
    </row>
    <row r="280" spans="1:7" x14ac:dyDescent="0.2">
      <c r="A280" t="s">
        <v>290</v>
      </c>
      <c r="B280" t="s">
        <v>633</v>
      </c>
      <c r="C280" t="s">
        <v>831</v>
      </c>
      <c r="D280" t="str" cm="1">
        <f t="array" ref="D280">_xlfn.LET(
    _xlpm.searchText, B280,
    _xlpm.matchIndex, MATCH(TRUE, INDEX(ISNUMBER(SEARCH(E:E, _xlpm.searchText)), 0), 0),
    IF(ISNA(_xlpm.matchIndex), "",
       INDEX(F:F, _xlpm.matchIndex)
    )
)</f>
        <v>T3SS</v>
      </c>
      <c r="G280" t="str">
        <f t="shared" si="4"/>
        <v>Yersinia</v>
      </c>
    </row>
    <row r="281" spans="1:7" x14ac:dyDescent="0.2">
      <c r="A281" t="s">
        <v>291</v>
      </c>
      <c r="B281" t="s">
        <v>603</v>
      </c>
      <c r="C281" t="s">
        <v>831</v>
      </c>
      <c r="D281" t="str" cm="1">
        <f t="array" ref="D281">_xlfn.LET(
    _xlpm.searchText, B281,
    _xlpm.matchIndex, MATCH(TRUE, INDEX(ISNUMBER(SEARCH(E:E, _xlpm.searchText)), 0), 0),
    IF(ISNA(_xlpm.matchIndex), "",
       INDEX(F:F, _xlpm.matchIndex)
    )
)</f>
        <v>FliF</v>
      </c>
      <c r="G281" t="str">
        <f t="shared" si="4"/>
        <v>Yersinia</v>
      </c>
    </row>
    <row r="282" spans="1:7" x14ac:dyDescent="0.2">
      <c r="A282" t="s">
        <v>292</v>
      </c>
      <c r="B282" t="s">
        <v>603</v>
      </c>
      <c r="C282" t="s">
        <v>831</v>
      </c>
      <c r="D282" t="str" cm="1">
        <f t="array" ref="D282">_xlfn.LET(
    _xlpm.searchText, B282,
    _xlpm.matchIndex, MATCH(TRUE, INDEX(ISNUMBER(SEARCH(E:E, _xlpm.searchText)), 0), 0),
    IF(ISNA(_xlpm.matchIndex), "",
       INDEX(F:F, _xlpm.matchIndex)
    )
)</f>
        <v>FliF</v>
      </c>
      <c r="G282" t="str">
        <f t="shared" si="4"/>
        <v>Yersinia</v>
      </c>
    </row>
    <row r="283" spans="1:7" x14ac:dyDescent="0.2">
      <c r="A283" t="s">
        <v>293</v>
      </c>
      <c r="B283" t="s">
        <v>613</v>
      </c>
      <c r="C283" t="s">
        <v>831</v>
      </c>
      <c r="D283" t="str" cm="1">
        <f t="array" ref="D283">_xlfn.LET(
    _xlpm.searchText, B283,
    _xlpm.matchIndex, MATCH(TRUE, INDEX(ISNUMBER(SEARCH(E:E, _xlpm.searchText)), 0), 0),
    IF(ISNA(_xlpm.matchIndex), "",
       INDEX(F:F, _xlpm.matchIndex)
    )
)</f>
        <v>T3SS_YscJ_HrcJ</v>
      </c>
      <c r="G283" t="str">
        <f t="shared" si="4"/>
        <v>Yersinia</v>
      </c>
    </row>
    <row r="284" spans="1:7" x14ac:dyDescent="0.2">
      <c r="A284" t="s">
        <v>294</v>
      </c>
      <c r="B284" t="s">
        <v>603</v>
      </c>
      <c r="C284" t="s">
        <v>832</v>
      </c>
      <c r="D284" t="str" cm="1">
        <f t="array" ref="D284">_xlfn.LET(
    _xlpm.searchText, B284,
    _xlpm.matchIndex, MATCH(TRUE, INDEX(ISNUMBER(SEARCH(E:E, _xlpm.searchText)), 0), 0),
    IF(ISNA(_xlpm.matchIndex), "",
       INDEX(F:F, _xlpm.matchIndex)
    )
)</f>
        <v>FliF</v>
      </c>
      <c r="G284" t="str">
        <f t="shared" si="4"/>
        <v>Comamonas</v>
      </c>
    </row>
    <row r="285" spans="1:7" x14ac:dyDescent="0.2">
      <c r="A285" t="s">
        <v>295</v>
      </c>
      <c r="B285" t="s">
        <v>584</v>
      </c>
      <c r="C285" t="s">
        <v>833</v>
      </c>
      <c r="D285" t="str" cm="1">
        <f t="array" ref="D285">_xlfn.LET(
    _xlpm.searchText, B285,
    _xlpm.matchIndex, MATCH(TRUE, INDEX(ISNUMBER(SEARCH(E:E, _xlpm.searchText)), 0), 0),
    IF(ISNA(_xlpm.matchIndex), "",
       INDEX(F:F, _xlpm.matchIndex)
    )
)</f>
        <v>FliF</v>
      </c>
      <c r="G285" t="str">
        <f t="shared" si="4"/>
        <v>Alteromonas</v>
      </c>
    </row>
    <row r="286" spans="1:7" x14ac:dyDescent="0.2">
      <c r="A286" t="s">
        <v>296</v>
      </c>
      <c r="B286" t="s">
        <v>603</v>
      </c>
      <c r="C286" t="s">
        <v>698</v>
      </c>
      <c r="D286" t="str" cm="1">
        <f t="array" ref="D286">_xlfn.LET(
    _xlpm.searchText, B286,
    _xlpm.matchIndex, MATCH(TRUE, INDEX(ISNUMBER(SEARCH(E:E, _xlpm.searchText)), 0), 0),
    IF(ISNA(_xlpm.matchIndex), "",
       INDEX(F:F, _xlpm.matchIndex)
    )
)</f>
        <v>FliF</v>
      </c>
      <c r="G286" t="str">
        <f t="shared" si="4"/>
        <v>Dethiobacter</v>
      </c>
    </row>
    <row r="287" spans="1:7" x14ac:dyDescent="0.2">
      <c r="A287" t="s">
        <v>297</v>
      </c>
      <c r="B287" t="s">
        <v>595</v>
      </c>
      <c r="C287" t="s">
        <v>834</v>
      </c>
      <c r="D287" t="str" cm="1">
        <f t="array" ref="D287">_xlfn.LET(
    _xlpm.searchText, B287,
    _xlpm.matchIndex, MATCH(TRUE, INDEX(ISNUMBER(SEARCH(E:E, _xlpm.searchText)), 0), 0),
    IF(ISNA(_xlpm.matchIndex), "",
       INDEX(F:F, _xlpm.matchIndex)
    )
)</f>
        <v>FliF</v>
      </c>
      <c r="G287" t="str">
        <f t="shared" si="4"/>
        <v>Vibrio</v>
      </c>
    </row>
    <row r="288" spans="1:7" x14ac:dyDescent="0.2">
      <c r="A288" t="s">
        <v>298</v>
      </c>
      <c r="B288" t="s">
        <v>595</v>
      </c>
      <c r="C288" t="s">
        <v>835</v>
      </c>
      <c r="D288" t="str" cm="1">
        <f t="array" ref="D288">_xlfn.LET(
    _xlpm.searchText, B288,
    _xlpm.matchIndex, MATCH(TRUE, INDEX(ISNUMBER(SEARCH(E:E, _xlpm.searchText)), 0), 0),
    IF(ISNA(_xlpm.matchIndex), "",
       INDEX(F:F, _xlpm.matchIndex)
    )
)</f>
        <v>FliF</v>
      </c>
      <c r="G288" t="str">
        <f t="shared" si="4"/>
        <v>Vibrio</v>
      </c>
    </row>
    <row r="289" spans="1:7" x14ac:dyDescent="0.2">
      <c r="A289" t="s">
        <v>299</v>
      </c>
      <c r="B289" t="s">
        <v>595</v>
      </c>
      <c r="C289" t="s">
        <v>835</v>
      </c>
      <c r="D289" t="str" cm="1">
        <f t="array" ref="D289">_xlfn.LET(
    _xlpm.searchText, B289,
    _xlpm.matchIndex, MATCH(TRUE, INDEX(ISNUMBER(SEARCH(E:E, _xlpm.searchText)), 0), 0),
    IF(ISNA(_xlpm.matchIndex), "",
       INDEX(F:F, _xlpm.matchIndex)
    )
)</f>
        <v>FliF</v>
      </c>
      <c r="G289" t="str">
        <f t="shared" si="4"/>
        <v>Vibrio</v>
      </c>
    </row>
    <row r="290" spans="1:7" x14ac:dyDescent="0.2">
      <c r="A290" t="s">
        <v>300</v>
      </c>
      <c r="B290" t="s">
        <v>603</v>
      </c>
      <c r="C290" t="s">
        <v>836</v>
      </c>
      <c r="D290" t="str" cm="1">
        <f t="array" ref="D290">_xlfn.LET(
    _xlpm.searchText, B290,
    _xlpm.matchIndex, MATCH(TRUE, INDEX(ISNUMBER(SEARCH(E:E, _xlpm.searchText)), 0), 0),
    IF(ISNA(_xlpm.matchIndex), "",
       INDEX(F:F, _xlpm.matchIndex)
    )
)</f>
        <v>FliF</v>
      </c>
      <c r="G290" t="str">
        <f t="shared" si="4"/>
        <v>Methylobacter</v>
      </c>
    </row>
    <row r="291" spans="1:7" x14ac:dyDescent="0.2">
      <c r="A291" t="s">
        <v>301</v>
      </c>
      <c r="B291" t="s">
        <v>613</v>
      </c>
      <c r="C291" t="s">
        <v>837</v>
      </c>
      <c r="D291" t="str" cm="1">
        <f t="array" ref="D291">_xlfn.LET(
    _xlpm.searchText, B291,
    _xlpm.matchIndex, MATCH(TRUE, INDEX(ISNUMBER(SEARCH(E:E, _xlpm.searchText)), 0), 0),
    IF(ISNA(_xlpm.matchIndex), "",
       INDEX(F:F, _xlpm.matchIndex)
    )
)</f>
        <v>T3SS_YscJ_HrcJ</v>
      </c>
      <c r="G291" t="str">
        <f t="shared" si="4"/>
        <v>Marinomonas</v>
      </c>
    </row>
    <row r="292" spans="1:7" x14ac:dyDescent="0.2">
      <c r="A292" t="s">
        <v>302</v>
      </c>
      <c r="B292" t="s">
        <v>603</v>
      </c>
      <c r="C292" t="s">
        <v>837</v>
      </c>
      <c r="D292" t="str" cm="1">
        <f t="array" ref="D292">_xlfn.LET(
    _xlpm.searchText, B292,
    _xlpm.matchIndex, MATCH(TRUE, INDEX(ISNUMBER(SEARCH(E:E, _xlpm.searchText)), 0), 0),
    IF(ISNA(_xlpm.matchIndex), "",
       INDEX(F:F, _xlpm.matchIndex)
    )
)</f>
        <v>FliF</v>
      </c>
      <c r="G292" t="str">
        <f t="shared" si="4"/>
        <v>Marinomonas</v>
      </c>
    </row>
    <row r="293" spans="1:7" x14ac:dyDescent="0.2">
      <c r="A293" t="s">
        <v>303</v>
      </c>
      <c r="B293" t="s">
        <v>634</v>
      </c>
      <c r="C293" t="s">
        <v>838</v>
      </c>
      <c r="D293" t="str" cm="1">
        <f t="array" ref="D293">_xlfn.LET(
    _xlpm.searchText, B293,
    _xlpm.matchIndex, MATCH(TRUE, INDEX(ISNUMBER(SEARCH(E:E, _xlpm.searchText)), 0), 0),
    IF(ISNA(_xlpm.matchIndex), "",
       INDEX(F:F, _xlpm.matchIndex)
    )
)</f>
        <v>T3SS</v>
      </c>
      <c r="G293" t="str">
        <f t="shared" si="4"/>
        <v>Desulfovibrio</v>
      </c>
    </row>
    <row r="294" spans="1:7" x14ac:dyDescent="0.2">
      <c r="A294" t="s">
        <v>304</v>
      </c>
      <c r="B294" t="s">
        <v>603</v>
      </c>
      <c r="C294" t="s">
        <v>838</v>
      </c>
      <c r="D294" t="str" cm="1">
        <f t="array" ref="D294">_xlfn.LET(
    _xlpm.searchText, B294,
    _xlpm.matchIndex, MATCH(TRUE, INDEX(ISNUMBER(SEARCH(E:E, _xlpm.searchText)), 0), 0),
    IF(ISNA(_xlpm.matchIndex), "",
       INDEX(F:F, _xlpm.matchIndex)
    )
)</f>
        <v>FliF</v>
      </c>
      <c r="G294" t="str">
        <f t="shared" si="4"/>
        <v>Desulfovibrio</v>
      </c>
    </row>
    <row r="295" spans="1:7" x14ac:dyDescent="0.2">
      <c r="A295" t="s">
        <v>305</v>
      </c>
      <c r="B295" t="s">
        <v>628</v>
      </c>
      <c r="C295" t="s">
        <v>839</v>
      </c>
      <c r="D295" t="str" cm="1">
        <f t="array" ref="D295">_xlfn.LET(
    _xlpm.searchText, B295,
    _xlpm.matchIndex, MATCH(TRUE, INDEX(ISNUMBER(SEARCH(E:E, _xlpm.searchText)), 0), 0),
    IF(ISNA(_xlpm.matchIndex), "",
       INDEX(F:F, _xlpm.matchIndex)
    )
)</f>
        <v>T3SS</v>
      </c>
      <c r="G295" t="str">
        <f t="shared" si="4"/>
        <v>Vibrio</v>
      </c>
    </row>
    <row r="296" spans="1:7" x14ac:dyDescent="0.2">
      <c r="A296" t="s">
        <v>306</v>
      </c>
      <c r="B296" t="s">
        <v>607</v>
      </c>
      <c r="C296" t="s">
        <v>839</v>
      </c>
      <c r="D296" t="str" cm="1">
        <f t="array" ref="D296">_xlfn.LET(
    _xlpm.searchText, B296,
    _xlpm.matchIndex, MATCH(TRUE, INDEX(ISNUMBER(SEARCH(E:E, _xlpm.searchText)), 0), 0),
    IF(ISNA(_xlpm.matchIndex), "",
       INDEX(F:F, _xlpm.matchIndex)
    )
)</f>
        <v>FliF</v>
      </c>
      <c r="G296" t="str">
        <f t="shared" si="4"/>
        <v>Vibrio</v>
      </c>
    </row>
    <row r="297" spans="1:7" x14ac:dyDescent="0.2">
      <c r="A297" t="s">
        <v>307</v>
      </c>
      <c r="B297" t="s">
        <v>635</v>
      </c>
      <c r="C297" t="s">
        <v>839</v>
      </c>
      <c r="D297" t="str" cm="1">
        <f t="array" ref="D297">_xlfn.LET(
    _xlpm.searchText, B297,
    _xlpm.matchIndex, MATCH(TRUE, INDEX(ISNUMBER(SEARCH(E:E, _xlpm.searchText)), 0), 0),
    IF(ISNA(_xlpm.matchIndex), "",
       INDEX(F:F, _xlpm.matchIndex)
    )
)</f>
        <v>FliF</v>
      </c>
      <c r="G297" t="str">
        <f t="shared" si="4"/>
        <v>Vibrio</v>
      </c>
    </row>
    <row r="298" spans="1:7" x14ac:dyDescent="0.2">
      <c r="A298" t="s">
        <v>308</v>
      </c>
      <c r="B298" t="s">
        <v>636</v>
      </c>
      <c r="C298" t="s">
        <v>840</v>
      </c>
      <c r="D298" t="str" cm="1">
        <f t="array" ref="D298">_xlfn.LET(
    _xlpm.searchText, B298,
    _xlpm.matchIndex, MATCH(TRUE, INDEX(ISNUMBER(SEARCH(E:E, _xlpm.searchText)), 0), 0),
    IF(ISNA(_xlpm.matchIndex), "",
       INDEX(F:F, _xlpm.matchIndex)
    )
)</f>
        <v>FliF</v>
      </c>
      <c r="G298" t="str">
        <f t="shared" si="4"/>
        <v>Wolinella</v>
      </c>
    </row>
    <row r="299" spans="1:7" x14ac:dyDescent="0.2">
      <c r="A299" t="s">
        <v>309</v>
      </c>
      <c r="B299" t="s">
        <v>637</v>
      </c>
      <c r="C299" t="s">
        <v>841</v>
      </c>
      <c r="D299" t="str" cm="1">
        <f t="array" ref="D299">_xlfn.LET(
    _xlpm.searchText, B299,
    _xlpm.matchIndex, MATCH(TRUE, INDEX(ISNUMBER(SEARCH(E:E, _xlpm.searchText)), 0), 0),
    IF(ISNA(_xlpm.matchIndex), "",
       INDEX(F:F, _xlpm.matchIndex)
    )
)</f>
        <v>FliF</v>
      </c>
      <c r="G299" t="str">
        <f t="shared" si="4"/>
        <v>Photobacterium</v>
      </c>
    </row>
    <row r="300" spans="1:7" x14ac:dyDescent="0.2">
      <c r="A300" t="s">
        <v>310</v>
      </c>
      <c r="B300" t="s">
        <v>603</v>
      </c>
      <c r="C300" t="s">
        <v>842</v>
      </c>
      <c r="D300" t="str" cm="1">
        <f t="array" ref="D300">_xlfn.LET(
    _xlpm.searchText, B300,
    _xlpm.matchIndex, MATCH(TRUE, INDEX(ISNUMBER(SEARCH(E:E, _xlpm.searchText)), 0), 0),
    IF(ISNA(_xlpm.matchIndex), "",
       INDEX(F:F, _xlpm.matchIndex)
    )
)</f>
        <v>FliF</v>
      </c>
      <c r="G300" t="str">
        <f t="shared" si="4"/>
        <v>Photobacterium</v>
      </c>
    </row>
    <row r="301" spans="1:7" x14ac:dyDescent="0.2">
      <c r="A301" t="s">
        <v>311</v>
      </c>
      <c r="B301" t="s">
        <v>603</v>
      </c>
      <c r="C301" t="s">
        <v>843</v>
      </c>
      <c r="D301" t="str" cm="1">
        <f t="array" ref="D301">_xlfn.LET(
    _xlpm.searchText, B301,
    _xlpm.matchIndex, MATCH(TRUE, INDEX(ISNUMBER(SEARCH(E:E, _xlpm.searchText)), 0), 0),
    IF(ISNA(_xlpm.matchIndex), "",
       INDEX(F:F, _xlpm.matchIndex)
    )
)</f>
        <v>FliF</v>
      </c>
      <c r="G301" t="str">
        <f t="shared" si="4"/>
        <v>Hylemonella</v>
      </c>
    </row>
    <row r="302" spans="1:7" x14ac:dyDescent="0.2">
      <c r="A302" t="s">
        <v>312</v>
      </c>
      <c r="B302" t="s">
        <v>603</v>
      </c>
      <c r="C302" t="s">
        <v>699</v>
      </c>
      <c r="D302" t="str" cm="1">
        <f t="array" ref="D302">_xlfn.LET(
    _xlpm.searchText, B302,
    _xlpm.matchIndex, MATCH(TRUE, INDEX(ISNUMBER(SEARCH(E:E, _xlpm.searchText)), 0), 0),
    IF(ISNA(_xlpm.matchIndex), "",
       INDEX(F:F, _xlpm.matchIndex)
    )
)</f>
        <v>FliF</v>
      </c>
      <c r="G302" t="str">
        <f t="shared" si="4"/>
        <v>Acetonema</v>
      </c>
    </row>
    <row r="303" spans="1:7" x14ac:dyDescent="0.2">
      <c r="A303" t="s">
        <v>313</v>
      </c>
      <c r="B303" t="s">
        <v>603</v>
      </c>
      <c r="C303" t="s">
        <v>844</v>
      </c>
      <c r="D303" t="str" cm="1">
        <f t="array" ref="D303">_xlfn.LET(
    _xlpm.searchText, B303,
    _xlpm.matchIndex, MATCH(TRUE, INDEX(ISNUMBER(SEARCH(E:E, _xlpm.searchText)), 0), 0),
    IF(ISNA(_xlpm.matchIndex), "",
       INDEX(F:F, _xlpm.matchIndex)
    )
)</f>
        <v>FliF</v>
      </c>
      <c r="G303" t="str">
        <f t="shared" si="4"/>
        <v>Candidatus</v>
      </c>
    </row>
    <row r="304" spans="1:7" x14ac:dyDescent="0.2">
      <c r="A304" t="s">
        <v>314</v>
      </c>
      <c r="B304" t="s">
        <v>584</v>
      </c>
      <c r="C304" t="s">
        <v>845</v>
      </c>
      <c r="D304" t="str" cm="1">
        <f t="array" ref="D304">_xlfn.LET(
    _xlpm.searchText, B304,
    _xlpm.matchIndex, MATCH(TRUE, INDEX(ISNUMBER(SEARCH(E:E, _xlpm.searchText)), 0), 0),
    IF(ISNA(_xlpm.matchIndex), "",
       INDEX(F:F, _xlpm.matchIndex)
    )
)</f>
        <v>FliF</v>
      </c>
      <c r="G304" t="str">
        <f t="shared" si="4"/>
        <v>Rhodospirillum</v>
      </c>
    </row>
    <row r="305" spans="1:7" x14ac:dyDescent="0.2">
      <c r="A305" t="s">
        <v>315</v>
      </c>
      <c r="B305" t="s">
        <v>603</v>
      </c>
      <c r="C305" t="s">
        <v>846</v>
      </c>
      <c r="D305" t="str" cm="1">
        <f t="array" ref="D305">_xlfn.LET(
    _xlpm.searchText, B305,
    _xlpm.matchIndex, MATCH(TRUE, INDEX(ISNUMBER(SEARCH(E:E, _xlpm.searchText)), 0), 0),
    IF(ISNA(_xlpm.matchIndex), "",
       INDEX(F:F, _xlpm.matchIndex)
    )
)</f>
        <v>FliF</v>
      </c>
      <c r="G305" t="str">
        <f t="shared" si="4"/>
        <v>Micavibrio</v>
      </c>
    </row>
    <row r="306" spans="1:7" x14ac:dyDescent="0.2">
      <c r="A306" t="s">
        <v>316</v>
      </c>
      <c r="B306" t="s">
        <v>584</v>
      </c>
      <c r="C306" t="s">
        <v>847</v>
      </c>
      <c r="D306" t="str" cm="1">
        <f t="array" ref="D306">_xlfn.LET(
    _xlpm.searchText, B306,
    _xlpm.matchIndex, MATCH(TRUE, INDEX(ISNUMBER(SEARCH(E:E, _xlpm.searchText)), 0), 0),
    IF(ISNA(_xlpm.matchIndex), "",
       INDEX(F:F, _xlpm.matchIndex)
    )
)</f>
        <v>FliF</v>
      </c>
      <c r="G306" t="str">
        <f t="shared" si="4"/>
        <v>Glaciecola</v>
      </c>
    </row>
    <row r="307" spans="1:7" x14ac:dyDescent="0.2">
      <c r="A307" t="s">
        <v>317</v>
      </c>
      <c r="B307" t="s">
        <v>584</v>
      </c>
      <c r="C307" t="s">
        <v>848</v>
      </c>
      <c r="D307" t="str" cm="1">
        <f t="array" ref="D307">_xlfn.LET(
    _xlpm.searchText, B307,
    _xlpm.matchIndex, MATCH(TRUE, INDEX(ISNUMBER(SEARCH(E:E, _xlpm.searchText)), 0), 0),
    IF(ISNA(_xlpm.matchIndex), "",
       INDEX(F:F, _xlpm.matchIndex)
    )
)</f>
        <v>FliF</v>
      </c>
      <c r="G307" t="str">
        <f t="shared" si="4"/>
        <v>Marinobacter</v>
      </c>
    </row>
    <row r="308" spans="1:7" x14ac:dyDescent="0.2">
      <c r="A308" t="s">
        <v>318</v>
      </c>
      <c r="B308" t="s">
        <v>603</v>
      </c>
      <c r="C308" t="s">
        <v>849</v>
      </c>
      <c r="D308" t="str" cm="1">
        <f t="array" ref="D308">_xlfn.LET(
    _xlpm.searchText, B308,
    _xlpm.matchIndex, MATCH(TRUE, INDEX(ISNUMBER(SEARCH(E:E, _xlpm.searchText)), 0), 0),
    IF(ISNA(_xlpm.matchIndex), "",
       INDEX(F:F, _xlpm.matchIndex)
    )
)</f>
        <v>FliF</v>
      </c>
      <c r="G308" t="str">
        <f t="shared" si="4"/>
        <v>Hafnia</v>
      </c>
    </row>
    <row r="309" spans="1:7" x14ac:dyDescent="0.2">
      <c r="A309" t="s">
        <v>319</v>
      </c>
      <c r="B309" t="s">
        <v>603</v>
      </c>
      <c r="C309" t="s">
        <v>849</v>
      </c>
      <c r="D309" t="str" cm="1">
        <f t="array" ref="D309">_xlfn.LET(
    _xlpm.searchText, B309,
    _xlpm.matchIndex, MATCH(TRUE, INDEX(ISNUMBER(SEARCH(E:E, _xlpm.searchText)), 0), 0),
    IF(ISNA(_xlpm.matchIndex), "",
       INDEX(F:F, _xlpm.matchIndex)
    )
)</f>
        <v>FliF</v>
      </c>
      <c r="G309" t="str">
        <f t="shared" si="4"/>
        <v>Hafnia</v>
      </c>
    </row>
    <row r="310" spans="1:7" x14ac:dyDescent="0.2">
      <c r="A310" t="s">
        <v>320</v>
      </c>
      <c r="B310" t="s">
        <v>584</v>
      </c>
      <c r="C310" t="s">
        <v>850</v>
      </c>
      <c r="D310" t="str" cm="1">
        <f t="array" ref="D310">_xlfn.LET(
    _xlpm.searchText, B310,
    _xlpm.matchIndex, MATCH(TRUE, INDEX(ISNUMBER(SEARCH(E:E, _xlpm.searchText)), 0), 0),
    IF(ISNA(_xlpm.matchIndex), "",
       INDEX(F:F, _xlpm.matchIndex)
    )
)</f>
        <v>FliF</v>
      </c>
      <c r="G310" t="str">
        <f t="shared" si="4"/>
        <v>Alishewanella</v>
      </c>
    </row>
    <row r="311" spans="1:7" x14ac:dyDescent="0.2">
      <c r="A311" t="s">
        <v>321</v>
      </c>
      <c r="B311" t="s">
        <v>585</v>
      </c>
      <c r="C311" t="s">
        <v>851</v>
      </c>
      <c r="D311" t="str" cm="1">
        <f t="array" ref="D311">_xlfn.LET(
    _xlpm.searchText, B311,
    _xlpm.matchIndex, MATCH(TRUE, INDEX(ISNUMBER(SEARCH(E:E, _xlpm.searchText)), 0), 0),
    IF(ISNA(_xlpm.matchIndex), "",
       INDEX(F:F, _xlpm.matchIndex)
    )
)</f>
        <v>FliF</v>
      </c>
      <c r="G311" t="str">
        <f t="shared" si="4"/>
        <v>Wigglesworthia</v>
      </c>
    </row>
    <row r="312" spans="1:7" x14ac:dyDescent="0.2">
      <c r="A312" t="s">
        <v>322</v>
      </c>
      <c r="B312" t="s">
        <v>638</v>
      </c>
      <c r="C312" t="s">
        <v>852</v>
      </c>
      <c r="D312" t="str" cm="1">
        <f t="array" ref="D312">_xlfn.LET(
    _xlpm.searchText, B312,
    _xlpm.matchIndex, MATCH(TRUE, INDEX(ISNUMBER(SEARCH(E:E, _xlpm.searchText)), 0), 0),
    IF(ISNA(_xlpm.matchIndex), "",
       INDEX(F:F, _xlpm.matchIndex)
    )
)</f>
        <v>T3SS</v>
      </c>
      <c r="G312" t="str">
        <f t="shared" si="4"/>
        <v>Parachlamydia</v>
      </c>
    </row>
    <row r="313" spans="1:7" x14ac:dyDescent="0.2">
      <c r="A313" t="s">
        <v>323</v>
      </c>
      <c r="B313" t="s">
        <v>638</v>
      </c>
      <c r="C313" t="s">
        <v>852</v>
      </c>
      <c r="D313" t="str" cm="1">
        <f t="array" ref="D313">_xlfn.LET(
    _xlpm.searchText, B313,
    _xlpm.matchIndex, MATCH(TRUE, INDEX(ISNUMBER(SEARCH(E:E, _xlpm.searchText)), 0), 0),
    IF(ISNA(_xlpm.matchIndex), "",
       INDEX(F:F, _xlpm.matchIndex)
    )
)</f>
        <v>T3SS</v>
      </c>
      <c r="G313" t="str">
        <f t="shared" si="4"/>
        <v>Parachlamydia</v>
      </c>
    </row>
    <row r="314" spans="1:7" x14ac:dyDescent="0.2">
      <c r="A314" t="s">
        <v>324</v>
      </c>
      <c r="B314" t="s">
        <v>639</v>
      </c>
      <c r="C314" t="s">
        <v>853</v>
      </c>
      <c r="D314" t="str" cm="1">
        <f t="array" ref="D314">_xlfn.LET(
    _xlpm.searchText, B314,
    _xlpm.matchIndex, MATCH(TRUE, INDEX(ISNUMBER(SEARCH(E:E, _xlpm.searchText)), 0), 0),
    IF(ISNA(_xlpm.matchIndex), "",
       INDEX(F:F, _xlpm.matchIndex)
    )
)</f>
        <v>T3SS</v>
      </c>
      <c r="G314" t="str">
        <f t="shared" si="4"/>
        <v>Corallococcus</v>
      </c>
    </row>
    <row r="315" spans="1:7" x14ac:dyDescent="0.2">
      <c r="A315" t="s">
        <v>325</v>
      </c>
      <c r="B315" t="s">
        <v>640</v>
      </c>
      <c r="C315" t="s">
        <v>853</v>
      </c>
      <c r="D315" t="str" cm="1">
        <f t="array" ref="D315">_xlfn.LET(
    _xlpm.searchText, B315,
    _xlpm.matchIndex, MATCH(TRUE, INDEX(ISNUMBER(SEARCH(E:E, _xlpm.searchText)), 0), 0),
    IF(ISNA(_xlpm.matchIndex), "",
       INDEX(F:F, _xlpm.matchIndex)
    )
)</f>
        <v>T3SS_YscJ_HrcJ</v>
      </c>
      <c r="G315" t="str">
        <f t="shared" si="4"/>
        <v>Corallococcus</v>
      </c>
    </row>
    <row r="316" spans="1:7" x14ac:dyDescent="0.2">
      <c r="A316" t="s">
        <v>326</v>
      </c>
      <c r="B316" t="s">
        <v>641</v>
      </c>
      <c r="C316" t="s">
        <v>854</v>
      </c>
      <c r="D316" t="str" cm="1">
        <f t="array" ref="D316">_xlfn.LET(
    _xlpm.searchText, B316,
    _xlpm.matchIndex, MATCH(TRUE, INDEX(ISNUMBER(SEARCH(E:E, _xlpm.searchText)), 0), 0),
    IF(ISNA(_xlpm.matchIndex), "",
       INDEX(F:F, _xlpm.matchIndex)
    )
)</f>
        <v>FliF</v>
      </c>
      <c r="G316" t="str">
        <f t="shared" si="4"/>
        <v>Terriglobus</v>
      </c>
    </row>
    <row r="317" spans="1:7" x14ac:dyDescent="0.2">
      <c r="A317" t="s">
        <v>327</v>
      </c>
      <c r="B317" t="s">
        <v>603</v>
      </c>
      <c r="C317" t="s">
        <v>855</v>
      </c>
      <c r="D317" t="str" cm="1">
        <f t="array" ref="D317">_xlfn.LET(
    _xlpm.searchText, B317,
    _xlpm.matchIndex, MATCH(TRUE, INDEX(ISNUMBER(SEARCH(E:E, _xlpm.searchText)), 0), 0),
    IF(ISNA(_xlpm.matchIndex), "",
       INDEX(F:F, _xlpm.matchIndex)
    )
)</f>
        <v>FliF</v>
      </c>
      <c r="G317" t="str">
        <f t="shared" si="4"/>
        <v>Sphingobium</v>
      </c>
    </row>
    <row r="318" spans="1:7" x14ac:dyDescent="0.2">
      <c r="A318" t="s">
        <v>328</v>
      </c>
      <c r="B318" t="s">
        <v>635</v>
      </c>
      <c r="C318" t="s">
        <v>856</v>
      </c>
      <c r="D318" t="str" cm="1">
        <f t="array" ref="D318">_xlfn.LET(
    _xlpm.searchText, B318,
    _xlpm.matchIndex, MATCH(TRUE, INDEX(ISNUMBER(SEARCH(E:E, _xlpm.searchText)), 0), 0),
    IF(ISNA(_xlpm.matchIndex), "",
       INDEX(F:F, _xlpm.matchIndex)
    )
)</f>
        <v>FliF</v>
      </c>
      <c r="G318" t="str">
        <f t="shared" si="4"/>
        <v>Leptospirillum</v>
      </c>
    </row>
    <row r="319" spans="1:7" x14ac:dyDescent="0.2">
      <c r="A319" t="s">
        <v>329</v>
      </c>
      <c r="B319" t="s">
        <v>642</v>
      </c>
      <c r="C319" t="s">
        <v>857</v>
      </c>
      <c r="D319" t="str" cm="1">
        <f t="array" ref="D319">_xlfn.LET(
    _xlpm.searchText, B319,
    _xlpm.matchIndex, MATCH(TRUE, INDEX(ISNUMBER(SEARCH(E:E, _xlpm.searchText)), 0), 0),
    IF(ISNA(_xlpm.matchIndex), "",
       INDEX(F:F, _xlpm.matchIndex)
    )
)</f>
        <v>hypothetical</v>
      </c>
      <c r="G319" t="str">
        <f t="shared" si="4"/>
        <v>Bradyrhizobium</v>
      </c>
    </row>
    <row r="320" spans="1:7" x14ac:dyDescent="0.2">
      <c r="A320" t="s">
        <v>330</v>
      </c>
      <c r="B320" t="s">
        <v>595</v>
      </c>
      <c r="C320" t="s">
        <v>857</v>
      </c>
      <c r="D320" t="str" cm="1">
        <f t="array" ref="D320">_xlfn.LET(
    _xlpm.searchText, B320,
    _xlpm.matchIndex, MATCH(TRUE, INDEX(ISNUMBER(SEARCH(E:E, _xlpm.searchText)), 0), 0),
    IF(ISNA(_xlpm.matchIndex), "",
       INDEX(F:F, _xlpm.matchIndex)
    )
)</f>
        <v>FliF</v>
      </c>
      <c r="G320" t="str">
        <f t="shared" si="4"/>
        <v>Bradyrhizobium</v>
      </c>
    </row>
    <row r="321" spans="1:7" x14ac:dyDescent="0.2">
      <c r="A321" t="s">
        <v>331</v>
      </c>
      <c r="B321" t="s">
        <v>643</v>
      </c>
      <c r="C321" t="s">
        <v>857</v>
      </c>
      <c r="D321" t="str" cm="1">
        <f t="array" ref="D321">_xlfn.LET(
    _xlpm.searchText, B321,
    _xlpm.matchIndex, MATCH(TRUE, INDEX(ISNUMBER(SEARCH(E:E, _xlpm.searchText)), 0), 0),
    IF(ISNA(_xlpm.matchIndex), "",
       INDEX(F:F, _xlpm.matchIndex)
    )
)</f>
        <v>T3SS_RhcJ</v>
      </c>
      <c r="G321" t="str">
        <f t="shared" si="4"/>
        <v>Bradyrhizobium</v>
      </c>
    </row>
    <row r="322" spans="1:7" x14ac:dyDescent="0.2">
      <c r="A322" t="s">
        <v>332</v>
      </c>
      <c r="B322" t="s">
        <v>585</v>
      </c>
      <c r="C322" t="s">
        <v>858</v>
      </c>
      <c r="D322" t="str" cm="1">
        <f t="array" ref="D322">_xlfn.LET(
    _xlpm.searchText, B322,
    _xlpm.matchIndex, MATCH(TRUE, INDEX(ISNUMBER(SEARCH(E:E, _xlpm.searchText)), 0), 0),
    IF(ISNA(_xlpm.matchIndex), "",
       INDEX(F:F, _xlpm.matchIndex)
    )
)</f>
        <v>FliF</v>
      </c>
      <c r="G322" t="str">
        <f t="shared" si="4"/>
        <v>Marinobacter</v>
      </c>
    </row>
    <row r="323" spans="1:7" x14ac:dyDescent="0.2">
      <c r="A323" t="s">
        <v>333</v>
      </c>
      <c r="B323" t="s">
        <v>644</v>
      </c>
      <c r="C323" t="s">
        <v>859</v>
      </c>
      <c r="D323" t="str" cm="1">
        <f t="array" ref="D323">_xlfn.LET(
    _xlpm.searchText, B323,
    _xlpm.matchIndex, MATCH(TRUE, INDEX(ISNUMBER(SEARCH(E:E, _xlpm.searchText)), 0), 0),
    IF(ISNA(_xlpm.matchIndex), "",
       INDEX(F:F, _xlpm.matchIndex)
    )
)</f>
        <v>T3SS_HrcJ</v>
      </c>
      <c r="G323" t="str">
        <f t="shared" si="4"/>
        <v>Morganella</v>
      </c>
    </row>
    <row r="324" spans="1:7" x14ac:dyDescent="0.2">
      <c r="A324" t="s">
        <v>334</v>
      </c>
      <c r="B324" t="s">
        <v>645</v>
      </c>
      <c r="C324" t="s">
        <v>859</v>
      </c>
      <c r="D324" t="str" cm="1">
        <f t="array" ref="D324">_xlfn.LET(
    _xlpm.searchText, B324,
    _xlpm.matchIndex, MATCH(TRUE, INDEX(ISNUMBER(SEARCH(E:E, _xlpm.searchText)), 0), 0),
    IF(ISNA(_xlpm.matchIndex), "",
       INDEX(F:F, _xlpm.matchIndex)
    )
)</f>
        <v>FliF</v>
      </c>
      <c r="G324" t="str">
        <f t="shared" ref="G324:G387" si="5">IFERROR(_xlfn.TEXTBEFORE(C324, " "), C324)</f>
        <v>Morganella</v>
      </c>
    </row>
    <row r="325" spans="1:7" x14ac:dyDescent="0.2">
      <c r="A325" t="s">
        <v>335</v>
      </c>
      <c r="B325" t="s">
        <v>603</v>
      </c>
      <c r="C325" t="s">
        <v>741</v>
      </c>
      <c r="D325" t="str" cm="1">
        <f t="array" ref="D325">_xlfn.LET(
    _xlpm.searchText, B325,
    _xlpm.matchIndex, MATCH(TRUE, INDEX(ISNUMBER(SEARCH(E:E, _xlpm.searchText)), 0), 0),
    IF(ISNA(_xlpm.matchIndex), "",
       INDEX(F:F, _xlpm.matchIndex)
    )
)</f>
        <v>FliF</v>
      </c>
      <c r="G325" t="str">
        <f t="shared" si="5"/>
        <v>Alkalihalobacillus</v>
      </c>
    </row>
    <row r="326" spans="1:7" x14ac:dyDescent="0.2">
      <c r="A326" t="s">
        <v>336</v>
      </c>
      <c r="B326" t="s">
        <v>584</v>
      </c>
      <c r="C326" t="s">
        <v>860</v>
      </c>
      <c r="D326" t="str" cm="1">
        <f t="array" ref="D326">_xlfn.LET(
    _xlpm.searchText, B326,
    _xlpm.matchIndex, MATCH(TRUE, INDEX(ISNUMBER(SEARCH(E:E, _xlpm.searchText)), 0), 0),
    IF(ISNA(_xlpm.matchIndex), "",
       INDEX(F:F, _xlpm.matchIndex)
    )
)</f>
        <v>FliF</v>
      </c>
      <c r="G326" t="str">
        <f t="shared" si="5"/>
        <v>Helicobacter</v>
      </c>
    </row>
    <row r="327" spans="1:7" x14ac:dyDescent="0.2">
      <c r="A327" t="s">
        <v>337</v>
      </c>
      <c r="B327" t="s">
        <v>603</v>
      </c>
      <c r="C327" t="s">
        <v>861</v>
      </c>
      <c r="D327" t="str" cm="1">
        <f t="array" ref="D327">_xlfn.LET(
    _xlpm.searchText, B327,
    _xlpm.matchIndex, MATCH(TRUE, INDEX(ISNUMBER(SEARCH(E:E, _xlpm.searchText)), 0), 0),
    IF(ISNA(_xlpm.matchIndex), "",
       INDEX(F:F, _xlpm.matchIndex)
    )
)</f>
        <v>FliF</v>
      </c>
      <c r="G327" t="str">
        <f t="shared" si="5"/>
        <v>Leptospira</v>
      </c>
    </row>
    <row r="328" spans="1:7" x14ac:dyDescent="0.2">
      <c r="A328" t="s">
        <v>338</v>
      </c>
      <c r="B328" t="s">
        <v>603</v>
      </c>
      <c r="C328" t="s">
        <v>862</v>
      </c>
      <c r="D328" t="str" cm="1">
        <f t="array" ref="D328">_xlfn.LET(
    _xlpm.searchText, B328,
    _xlpm.matchIndex, MATCH(TRUE, INDEX(ISNUMBER(SEARCH(E:E, _xlpm.searchText)), 0), 0),
    IF(ISNA(_xlpm.matchIndex), "",
       INDEX(F:F, _xlpm.matchIndex)
    )
)</f>
        <v>FliF</v>
      </c>
      <c r="G328" t="str">
        <f t="shared" si="5"/>
        <v>Paraglaciecola</v>
      </c>
    </row>
    <row r="329" spans="1:7" x14ac:dyDescent="0.2">
      <c r="A329" t="s">
        <v>339</v>
      </c>
      <c r="B329" t="s">
        <v>645</v>
      </c>
      <c r="C329" t="s">
        <v>863</v>
      </c>
      <c r="D329" t="str" cm="1">
        <f t="array" ref="D329">_xlfn.LET(
    _xlpm.searchText, B329,
    _xlpm.matchIndex, MATCH(TRUE, INDEX(ISNUMBER(SEARCH(E:E, _xlpm.searchText)), 0), 0),
    IF(ISNA(_xlpm.matchIndex), "",
       INDEX(F:F, _xlpm.matchIndex)
    )
)</f>
        <v>FliF</v>
      </c>
      <c r="G329" t="str">
        <f t="shared" si="5"/>
        <v>Cronobacter</v>
      </c>
    </row>
    <row r="330" spans="1:7" x14ac:dyDescent="0.2">
      <c r="A330" t="s">
        <v>340</v>
      </c>
      <c r="B330" t="s">
        <v>623</v>
      </c>
      <c r="C330" t="s">
        <v>864</v>
      </c>
      <c r="D330" t="str" cm="1">
        <f t="array" ref="D330">_xlfn.LET(
    _xlpm.searchText, B330,
    _xlpm.matchIndex, MATCH(TRUE, INDEX(ISNUMBER(SEARCH(E:E, _xlpm.searchText)), 0), 0),
    IF(ISNA(_xlpm.matchIndex), "",
       INDEX(F:F, _xlpm.matchIndex)
    )
)</f>
        <v>T3SS</v>
      </c>
      <c r="G330" t="str">
        <f t="shared" si="5"/>
        <v>Lawsonia</v>
      </c>
    </row>
    <row r="331" spans="1:7" x14ac:dyDescent="0.2">
      <c r="A331" t="s">
        <v>341</v>
      </c>
      <c r="B331" t="s">
        <v>603</v>
      </c>
      <c r="C331" t="s">
        <v>864</v>
      </c>
      <c r="D331" t="str" cm="1">
        <f t="array" ref="D331">_xlfn.LET(
    _xlpm.searchText, B331,
    _xlpm.matchIndex, MATCH(TRUE, INDEX(ISNUMBER(SEARCH(E:E, _xlpm.searchText)), 0), 0),
    IF(ISNA(_xlpm.matchIndex), "",
       INDEX(F:F, _xlpm.matchIndex)
    )
)</f>
        <v>FliF</v>
      </c>
      <c r="G331" t="str">
        <f t="shared" si="5"/>
        <v>Lawsonia</v>
      </c>
    </row>
    <row r="332" spans="1:7" x14ac:dyDescent="0.2">
      <c r="A332" t="s">
        <v>342</v>
      </c>
      <c r="B332" t="s">
        <v>646</v>
      </c>
      <c r="C332" t="s">
        <v>864</v>
      </c>
      <c r="D332" t="str" cm="1">
        <f t="array" ref="D332">_xlfn.LET(
    _xlpm.searchText, B332,
    _xlpm.matchIndex, MATCH(TRUE, INDEX(ISNUMBER(SEARCH(E:E, _xlpm.searchText)), 0), 0),
    IF(ISNA(_xlpm.matchIndex), "",
       INDEX(F:F, _xlpm.matchIndex)
    )
)</f>
        <v>T3SS_YscJ_HrcJ</v>
      </c>
      <c r="G332" t="str">
        <f t="shared" si="5"/>
        <v>Lawsonia</v>
      </c>
    </row>
    <row r="333" spans="1:7" x14ac:dyDescent="0.2">
      <c r="A333" t="s">
        <v>343</v>
      </c>
      <c r="B333" t="s">
        <v>645</v>
      </c>
      <c r="C333" t="s">
        <v>865</v>
      </c>
      <c r="D333" t="str" cm="1">
        <f t="array" ref="D333">_xlfn.LET(
    _xlpm.searchText, B333,
    _xlpm.matchIndex, MATCH(TRUE, INDEX(ISNUMBER(SEARCH(E:E, _xlpm.searchText)), 0), 0),
    IF(ISNA(_xlpm.matchIndex), "",
       INDEX(F:F, _xlpm.matchIndex)
    )
)</f>
        <v>FliF</v>
      </c>
      <c r="G333" t="str">
        <f t="shared" si="5"/>
        <v>Pseudoalteromonas</v>
      </c>
    </row>
    <row r="334" spans="1:7" x14ac:dyDescent="0.2">
      <c r="A334" t="s">
        <v>344</v>
      </c>
      <c r="B334" t="s">
        <v>592</v>
      </c>
      <c r="C334" t="s">
        <v>866</v>
      </c>
      <c r="D334" t="str" cm="1">
        <f t="array" ref="D334">_xlfn.LET(
    _xlpm.searchText, B334,
    _xlpm.matchIndex, MATCH(TRUE, INDEX(ISNUMBER(SEARCH(E:E, _xlpm.searchText)), 0), 0),
    IF(ISNA(_xlpm.matchIndex), "",
       INDEX(F:F, _xlpm.matchIndex)
    )
)</f>
        <v>T3SS_HrcJ</v>
      </c>
      <c r="G334" t="str">
        <f t="shared" si="5"/>
        <v>Xanthomonas</v>
      </c>
    </row>
    <row r="335" spans="1:7" x14ac:dyDescent="0.2">
      <c r="A335" t="s">
        <v>345</v>
      </c>
      <c r="B335" t="s">
        <v>584</v>
      </c>
      <c r="C335" t="s">
        <v>866</v>
      </c>
      <c r="D335" t="str" cm="1">
        <f t="array" ref="D335">_xlfn.LET(
    _xlpm.searchText, B335,
    _xlpm.matchIndex, MATCH(TRUE, INDEX(ISNUMBER(SEARCH(E:E, _xlpm.searchText)), 0), 0),
    IF(ISNA(_xlpm.matchIndex), "",
       INDEX(F:F, _xlpm.matchIndex)
    )
)</f>
        <v>FliF</v>
      </c>
      <c r="G335" t="str">
        <f t="shared" si="5"/>
        <v>Xanthomonas</v>
      </c>
    </row>
    <row r="336" spans="1:7" x14ac:dyDescent="0.2">
      <c r="A336" t="s">
        <v>346</v>
      </c>
      <c r="B336" t="s">
        <v>595</v>
      </c>
      <c r="C336" t="s">
        <v>867</v>
      </c>
      <c r="D336" t="str" cm="1">
        <f t="array" ref="D336">_xlfn.LET(
    _xlpm.searchText, B336,
    _xlpm.matchIndex, MATCH(TRUE, INDEX(ISNUMBER(SEARCH(E:E, _xlpm.searchText)), 0), 0),
    IF(ISNA(_xlpm.matchIndex), "",
       INDEX(F:F, _xlpm.matchIndex)
    )
)</f>
        <v>FliF</v>
      </c>
      <c r="G336" t="str">
        <f t="shared" si="5"/>
        <v>Pseudobdellovibrio</v>
      </c>
    </row>
    <row r="337" spans="1:7" x14ac:dyDescent="0.2">
      <c r="A337" t="s">
        <v>347</v>
      </c>
      <c r="B337" t="s">
        <v>647</v>
      </c>
      <c r="C337" t="s">
        <v>868</v>
      </c>
      <c r="D337" t="str" cm="1">
        <f t="array" ref="D337">_xlfn.LET(
    _xlpm.searchText, B337,
    _xlpm.matchIndex, MATCH(TRUE, INDEX(ISNUMBER(SEARCH(E:E, _xlpm.searchText)), 0), 0),
    IF(ISNA(_xlpm.matchIndex), "",
       INDEX(F:F, _xlpm.matchIndex)
    )
)</f>
        <v>FliF</v>
      </c>
      <c r="G337" t="str">
        <f t="shared" si="5"/>
        <v>Chthonomonas</v>
      </c>
    </row>
    <row r="338" spans="1:7" x14ac:dyDescent="0.2">
      <c r="A338" t="s">
        <v>348</v>
      </c>
      <c r="B338" t="s">
        <v>648</v>
      </c>
      <c r="C338" t="s">
        <v>869</v>
      </c>
      <c r="D338" t="str" cm="1">
        <f t="array" ref="D338">_xlfn.LET(
    _xlpm.searchText, B338,
    _xlpm.matchIndex, MATCH(TRUE, INDEX(ISNUMBER(SEARCH(E:E, _xlpm.searchText)), 0), 0),
    IF(ISNA(_xlpm.matchIndex), "",
       INDEX(F:F, _xlpm.matchIndex)
    )
)</f>
        <v>T3SS</v>
      </c>
      <c r="G338" t="str">
        <f t="shared" si="5"/>
        <v>Chlamydia</v>
      </c>
    </row>
    <row r="339" spans="1:7" x14ac:dyDescent="0.2">
      <c r="A339" t="s">
        <v>349</v>
      </c>
      <c r="B339" t="s">
        <v>603</v>
      </c>
      <c r="C339" t="s">
        <v>870</v>
      </c>
      <c r="D339" t="str" cm="1">
        <f t="array" ref="D339">_xlfn.LET(
    _xlpm.searchText, B339,
    _xlpm.matchIndex, MATCH(TRUE, INDEX(ISNUMBER(SEARCH(E:E, _xlpm.searchText)), 0), 0),
    IF(ISNA(_xlpm.matchIndex), "",
       INDEX(F:F, _xlpm.matchIndex)
    )
)</f>
        <v>FliF</v>
      </c>
      <c r="G339" t="str">
        <f t="shared" si="5"/>
        <v>Candidatus</v>
      </c>
    </row>
    <row r="340" spans="1:7" x14ac:dyDescent="0.2">
      <c r="A340" t="s">
        <v>350</v>
      </c>
      <c r="B340" t="s">
        <v>605</v>
      </c>
      <c r="C340" t="s">
        <v>871</v>
      </c>
      <c r="D340" t="str" cm="1">
        <f t="array" ref="D340">_xlfn.LET(
    _xlpm.searchText, B340,
    _xlpm.matchIndex, MATCH(TRUE, INDEX(ISNUMBER(SEARCH(E:E, _xlpm.searchText)), 0), 0),
    IF(ISNA(_xlpm.matchIndex), "",
       INDEX(F:F, _xlpm.matchIndex)
    )
)</f>
        <v>FliF</v>
      </c>
      <c r="G340" t="str">
        <f t="shared" si="5"/>
        <v>Mucispirillum</v>
      </c>
    </row>
    <row r="341" spans="1:7" x14ac:dyDescent="0.2">
      <c r="A341" t="s">
        <v>351</v>
      </c>
      <c r="B341" t="s">
        <v>604</v>
      </c>
      <c r="C341" t="s">
        <v>872</v>
      </c>
      <c r="D341" t="str" cm="1">
        <f t="array" ref="D341">_xlfn.LET(
    _xlpm.searchText, B341,
    _xlpm.matchIndex, MATCH(TRUE, INDEX(ISNUMBER(SEARCH(E:E, _xlpm.searchText)), 0), 0),
    IF(ISNA(_xlpm.matchIndex), "",
       INDEX(F:F, _xlpm.matchIndex)
    )
)</f>
        <v>FliF</v>
      </c>
      <c r="G341" t="str">
        <f t="shared" si="5"/>
        <v>Magnetospirillum</v>
      </c>
    </row>
    <row r="342" spans="1:7" x14ac:dyDescent="0.2">
      <c r="A342" t="s">
        <v>352</v>
      </c>
      <c r="B342" t="s">
        <v>604</v>
      </c>
      <c r="C342" t="s">
        <v>873</v>
      </c>
      <c r="D342" t="str" cm="1">
        <f t="array" ref="D342">_xlfn.LET(
    _xlpm.searchText, B342,
    _xlpm.matchIndex, MATCH(TRUE, INDEX(ISNUMBER(SEARCH(E:E, _xlpm.searchText)), 0), 0),
    IF(ISNA(_xlpm.matchIndex), "",
       INDEX(F:F, _xlpm.matchIndex)
    )
)</f>
        <v>FliF</v>
      </c>
      <c r="G342" t="str">
        <f t="shared" si="5"/>
        <v>Sodalis</v>
      </c>
    </row>
    <row r="343" spans="1:7" x14ac:dyDescent="0.2">
      <c r="A343" t="s">
        <v>353</v>
      </c>
      <c r="B343" t="s">
        <v>649</v>
      </c>
      <c r="C343" t="s">
        <v>873</v>
      </c>
      <c r="D343" t="str" cm="1">
        <f t="array" ref="D343">_xlfn.LET(
    _xlpm.searchText, B343,
    _xlpm.matchIndex, MATCH(TRUE, INDEX(ISNUMBER(SEARCH(E:E, _xlpm.searchText)), 0), 0),
    IF(ISNA(_xlpm.matchIndex), "",
       INDEX(F:F, _xlpm.matchIndex)
    )
)</f>
        <v>T3SS</v>
      </c>
      <c r="G343" t="str">
        <f t="shared" si="5"/>
        <v>Sodalis</v>
      </c>
    </row>
    <row r="344" spans="1:7" x14ac:dyDescent="0.2">
      <c r="A344" t="s">
        <v>354</v>
      </c>
      <c r="B344" t="s">
        <v>605</v>
      </c>
      <c r="C344" t="s">
        <v>873</v>
      </c>
      <c r="D344" t="str" cm="1">
        <f t="array" ref="D344">_xlfn.LET(
    _xlpm.searchText, B344,
    _xlpm.matchIndex, MATCH(TRUE, INDEX(ISNUMBER(SEARCH(E:E, _xlpm.searchText)), 0), 0),
    IF(ISNA(_xlpm.matchIndex), "",
       INDEX(F:F, _xlpm.matchIndex)
    )
)</f>
        <v>FliF</v>
      </c>
      <c r="G344" t="str">
        <f t="shared" si="5"/>
        <v>Sodalis</v>
      </c>
    </row>
    <row r="345" spans="1:7" x14ac:dyDescent="0.2">
      <c r="A345" t="s">
        <v>355</v>
      </c>
      <c r="B345" t="s">
        <v>649</v>
      </c>
      <c r="C345" t="s">
        <v>873</v>
      </c>
      <c r="D345" t="str" cm="1">
        <f t="array" ref="D345">_xlfn.LET(
    _xlpm.searchText, B345,
    _xlpm.matchIndex, MATCH(TRUE, INDEX(ISNUMBER(SEARCH(E:E, _xlpm.searchText)), 0), 0),
    IF(ISNA(_xlpm.matchIndex), "",
       INDEX(F:F, _xlpm.matchIndex)
    )
)</f>
        <v>T3SS</v>
      </c>
      <c r="G345" t="str">
        <f t="shared" si="5"/>
        <v>Sodalis</v>
      </c>
    </row>
    <row r="346" spans="1:7" x14ac:dyDescent="0.2">
      <c r="A346" t="s">
        <v>356</v>
      </c>
      <c r="B346" t="s">
        <v>649</v>
      </c>
      <c r="C346" t="s">
        <v>873</v>
      </c>
      <c r="D346" t="str" cm="1">
        <f t="array" ref="D346">_xlfn.LET(
    _xlpm.searchText, B346,
    _xlpm.matchIndex, MATCH(TRUE, INDEX(ISNUMBER(SEARCH(E:E, _xlpm.searchText)), 0), 0),
    IF(ISNA(_xlpm.matchIndex), "",
       INDEX(F:F, _xlpm.matchIndex)
    )
)</f>
        <v>T3SS</v>
      </c>
      <c r="G346" t="str">
        <f t="shared" si="5"/>
        <v>Sodalis</v>
      </c>
    </row>
    <row r="347" spans="1:7" x14ac:dyDescent="0.2">
      <c r="A347" t="s">
        <v>357</v>
      </c>
      <c r="B347" t="s">
        <v>603</v>
      </c>
      <c r="C347" t="s">
        <v>874</v>
      </c>
      <c r="D347" t="str" cm="1">
        <f t="array" ref="D347">_xlfn.LET(
    _xlpm.searchText, B347,
    _xlpm.matchIndex, MATCH(TRUE, INDEX(ISNUMBER(SEARCH(E:E, _xlpm.searchText)), 0), 0),
    IF(ISNA(_xlpm.matchIndex), "",
       INDEX(F:F, _xlpm.matchIndex)
    )
)</f>
        <v>FliF</v>
      </c>
      <c r="G347" t="str">
        <f t="shared" si="5"/>
        <v>Gluconobacter</v>
      </c>
    </row>
    <row r="348" spans="1:7" x14ac:dyDescent="0.2">
      <c r="A348" t="s">
        <v>358</v>
      </c>
      <c r="B348" t="s">
        <v>603</v>
      </c>
      <c r="C348" t="s">
        <v>875</v>
      </c>
      <c r="D348" t="str" cm="1">
        <f t="array" ref="D348">_xlfn.LET(
    _xlpm.searchText, B348,
    _xlpm.matchIndex, MATCH(TRUE, INDEX(ISNUMBER(SEARCH(E:E, _xlpm.searchText)), 0), 0),
    IF(ISNA(_xlpm.matchIndex), "",
       INDEX(F:F, _xlpm.matchIndex)
    )
)</f>
        <v>FliF</v>
      </c>
      <c r="G348" t="str">
        <f t="shared" si="5"/>
        <v>Bdellovibrio</v>
      </c>
    </row>
    <row r="349" spans="1:7" x14ac:dyDescent="0.2">
      <c r="A349" t="s">
        <v>359</v>
      </c>
      <c r="B349" t="s">
        <v>650</v>
      </c>
      <c r="C349" t="s">
        <v>876</v>
      </c>
      <c r="D349" t="str" cm="1">
        <f t="array" ref="D349">_xlfn.LET(
    _xlpm.searchText, B349,
    _xlpm.matchIndex, MATCH(TRUE, INDEX(ISNUMBER(SEARCH(E:E, _xlpm.searchText)), 0), 0),
    IF(ISNA(_xlpm.matchIndex), "",
       INDEX(F:F, _xlpm.matchIndex)
    )
)</f>
        <v>hypothetical</v>
      </c>
      <c r="G349" t="str">
        <f t="shared" si="5"/>
        <v>Gemmatimonas</v>
      </c>
    </row>
    <row r="350" spans="1:7" x14ac:dyDescent="0.2">
      <c r="A350" t="s">
        <v>360</v>
      </c>
      <c r="B350" t="s">
        <v>651</v>
      </c>
      <c r="C350" t="s">
        <v>877</v>
      </c>
      <c r="D350" t="str" cm="1">
        <f t="array" ref="D350">_xlfn.LET(
    _xlpm.searchText, B350,
    _xlpm.matchIndex, MATCH(TRUE, INDEX(ISNUMBER(SEARCH(E:E, _xlpm.searchText)), 0), 0),
    IF(ISNA(_xlpm.matchIndex), "",
       INDEX(F:F, _xlpm.matchIndex)
    )
)</f>
        <v>FliF</v>
      </c>
      <c r="G350" t="str">
        <f t="shared" si="5"/>
        <v>Serratia</v>
      </c>
    </row>
    <row r="351" spans="1:7" x14ac:dyDescent="0.2">
      <c r="A351" t="s">
        <v>361</v>
      </c>
      <c r="B351" t="s">
        <v>652</v>
      </c>
      <c r="C351" t="s">
        <v>878</v>
      </c>
      <c r="D351" t="str" cm="1">
        <f t="array" ref="D351">_xlfn.LET(
    _xlpm.searchText, B351,
    _xlpm.matchIndex, MATCH(TRUE, INDEX(ISNUMBER(SEARCH(E:E, _xlpm.searchText)), 0), 0),
    IF(ISNA(_xlpm.matchIndex), "",
       INDEX(F:F, _xlpm.matchIndex)
    )
)</f>
        <v>hypothetical</v>
      </c>
      <c r="G351" t="str">
        <f t="shared" si="5"/>
        <v>Candidatus</v>
      </c>
    </row>
    <row r="352" spans="1:7" x14ac:dyDescent="0.2">
      <c r="A352" t="s">
        <v>362</v>
      </c>
      <c r="B352" t="s">
        <v>603</v>
      </c>
      <c r="C352" t="s">
        <v>879</v>
      </c>
      <c r="D352" t="str" cm="1">
        <f t="array" ref="D352">_xlfn.LET(
    _xlpm.searchText, B352,
    _xlpm.matchIndex, MATCH(TRUE, INDEX(ISNUMBER(SEARCH(E:E, _xlpm.searchText)), 0), 0),
    IF(ISNA(_xlpm.matchIndex), "",
       INDEX(F:F, _xlpm.matchIndex)
    )
)</f>
        <v>FliF</v>
      </c>
      <c r="G352" t="str">
        <f t="shared" si="5"/>
        <v>Yersinia</v>
      </c>
    </row>
    <row r="353" spans="1:7" x14ac:dyDescent="0.2">
      <c r="A353" t="s">
        <v>363</v>
      </c>
      <c r="B353" t="s">
        <v>613</v>
      </c>
      <c r="C353" t="s">
        <v>879</v>
      </c>
      <c r="D353" t="str" cm="1">
        <f t="array" ref="D353">_xlfn.LET(
    _xlpm.searchText, B353,
    _xlpm.matchIndex, MATCH(TRUE, INDEX(ISNUMBER(SEARCH(E:E, _xlpm.searchText)), 0), 0),
    IF(ISNA(_xlpm.matchIndex), "",
       INDEX(F:F, _xlpm.matchIndex)
    )
)</f>
        <v>T3SS_YscJ_HrcJ</v>
      </c>
      <c r="G353" t="str">
        <f t="shared" si="5"/>
        <v>Yersinia</v>
      </c>
    </row>
    <row r="354" spans="1:7" x14ac:dyDescent="0.2">
      <c r="A354" t="s">
        <v>364</v>
      </c>
      <c r="B354" t="s">
        <v>603</v>
      </c>
      <c r="C354" t="s">
        <v>880</v>
      </c>
      <c r="D354" t="str" cm="1">
        <f t="array" ref="D354">_xlfn.LET(
    _xlpm.searchText, B354,
    _xlpm.matchIndex, MATCH(TRUE, INDEX(ISNUMBER(SEARCH(E:E, _xlpm.searchText)), 0), 0),
    IF(ISNA(_xlpm.matchIndex), "",
       INDEX(F:F, _xlpm.matchIndex)
    )
)</f>
        <v>FliF</v>
      </c>
      <c r="G354" t="str">
        <f t="shared" si="5"/>
        <v>Methylobacterium</v>
      </c>
    </row>
    <row r="355" spans="1:7" x14ac:dyDescent="0.2">
      <c r="A355" t="s">
        <v>365</v>
      </c>
      <c r="B355" t="s">
        <v>603</v>
      </c>
      <c r="C355" t="s">
        <v>880</v>
      </c>
      <c r="D355" t="str" cm="1">
        <f t="array" ref="D355">_xlfn.LET(
    _xlpm.searchText, B355,
    _xlpm.matchIndex, MATCH(TRUE, INDEX(ISNUMBER(SEARCH(E:E, _xlpm.searchText)), 0), 0),
    IF(ISNA(_xlpm.matchIndex), "",
       INDEX(F:F, _xlpm.matchIndex)
    )
)</f>
        <v>FliF</v>
      </c>
      <c r="G355" t="str">
        <f t="shared" si="5"/>
        <v>Methylobacterium</v>
      </c>
    </row>
    <row r="356" spans="1:7" x14ac:dyDescent="0.2">
      <c r="A356" t="s">
        <v>366</v>
      </c>
      <c r="B356" t="s">
        <v>584</v>
      </c>
      <c r="C356" t="s">
        <v>881</v>
      </c>
      <c r="D356" t="str" cm="1">
        <f t="array" ref="D356">_xlfn.LET(
    _xlpm.searchText, B356,
    _xlpm.matchIndex, MATCH(TRUE, INDEX(ISNUMBER(SEARCH(E:E, _xlpm.searchText)), 0), 0),
    IF(ISNA(_xlpm.matchIndex), "",
       INDEX(F:F, _xlpm.matchIndex)
    )
)</f>
        <v>FliF</v>
      </c>
      <c r="G356" t="str">
        <f t="shared" si="5"/>
        <v>Enterobacter</v>
      </c>
    </row>
    <row r="357" spans="1:7" x14ac:dyDescent="0.2">
      <c r="A357" t="s">
        <v>367</v>
      </c>
      <c r="B357" t="s">
        <v>603</v>
      </c>
      <c r="C357" t="s">
        <v>881</v>
      </c>
      <c r="D357" t="str" cm="1">
        <f t="array" ref="D357">_xlfn.LET(
    _xlpm.searchText, B357,
    _xlpm.matchIndex, MATCH(TRUE, INDEX(ISNUMBER(SEARCH(E:E, _xlpm.searchText)), 0), 0),
    IF(ISNA(_xlpm.matchIndex), "",
       INDEX(F:F, _xlpm.matchIndex)
    )
)</f>
        <v>FliF</v>
      </c>
      <c r="G357" t="str">
        <f t="shared" si="5"/>
        <v>Enterobacter</v>
      </c>
    </row>
    <row r="358" spans="1:7" x14ac:dyDescent="0.2">
      <c r="A358" t="s">
        <v>368</v>
      </c>
      <c r="B358" t="s">
        <v>648</v>
      </c>
      <c r="C358" t="s">
        <v>882</v>
      </c>
      <c r="D358" t="str" cm="1">
        <f t="array" ref="D358">_xlfn.LET(
    _xlpm.searchText, B358,
    _xlpm.matchIndex, MATCH(TRUE, INDEX(ISNUMBER(SEARCH(E:E, _xlpm.searchText)), 0), 0),
    IF(ISNA(_xlpm.matchIndex), "",
       INDEX(F:F, _xlpm.matchIndex)
    )
)</f>
        <v>T3SS</v>
      </c>
      <c r="G358" t="str">
        <f t="shared" si="5"/>
        <v>Erwinia</v>
      </c>
    </row>
    <row r="359" spans="1:7" x14ac:dyDescent="0.2">
      <c r="A359" t="s">
        <v>369</v>
      </c>
      <c r="B359" t="s">
        <v>584</v>
      </c>
      <c r="C359" t="s">
        <v>882</v>
      </c>
      <c r="D359" t="str" cm="1">
        <f t="array" ref="D359">_xlfn.LET(
    _xlpm.searchText, B359,
    _xlpm.matchIndex, MATCH(TRUE, INDEX(ISNUMBER(SEARCH(E:E, _xlpm.searchText)), 0), 0),
    IF(ISNA(_xlpm.matchIndex), "",
       INDEX(F:F, _xlpm.matchIndex)
    )
)</f>
        <v>FliF</v>
      </c>
      <c r="G359" t="str">
        <f t="shared" si="5"/>
        <v>Erwinia</v>
      </c>
    </row>
    <row r="360" spans="1:7" x14ac:dyDescent="0.2">
      <c r="A360" t="s">
        <v>370</v>
      </c>
      <c r="B360" t="s">
        <v>603</v>
      </c>
      <c r="C360" t="s">
        <v>882</v>
      </c>
      <c r="D360" t="str" cm="1">
        <f t="array" ref="D360">_xlfn.LET(
    _xlpm.searchText, B360,
    _xlpm.matchIndex, MATCH(TRUE, INDEX(ISNUMBER(SEARCH(E:E, _xlpm.searchText)), 0), 0),
    IF(ISNA(_xlpm.matchIndex), "",
       INDEX(F:F, _xlpm.matchIndex)
    )
)</f>
        <v>FliF</v>
      </c>
      <c r="G360" t="str">
        <f t="shared" si="5"/>
        <v>Erwinia</v>
      </c>
    </row>
    <row r="361" spans="1:7" x14ac:dyDescent="0.2">
      <c r="A361" t="s">
        <v>371</v>
      </c>
      <c r="B361" t="s">
        <v>603</v>
      </c>
      <c r="C361" t="s">
        <v>701</v>
      </c>
      <c r="D361" t="str" cm="1">
        <f t="array" ref="D361">_xlfn.LET(
    _xlpm.searchText, B361,
    _xlpm.matchIndex, MATCH(TRUE, INDEX(ISNUMBER(SEARCH(E:E, _xlpm.searchText)), 0), 0),
    IF(ISNA(_xlpm.matchIndex), "",
       INDEX(F:F, _xlpm.matchIndex)
    )
)</f>
        <v>FliF</v>
      </c>
      <c r="G361" t="str">
        <f t="shared" si="5"/>
        <v>Weizmannia</v>
      </c>
    </row>
    <row r="362" spans="1:7" x14ac:dyDescent="0.2">
      <c r="A362" t="s">
        <v>372</v>
      </c>
      <c r="B362" t="s">
        <v>653</v>
      </c>
      <c r="C362" t="s">
        <v>883</v>
      </c>
      <c r="D362" t="str" cm="1">
        <f t="array" ref="D362">_xlfn.LET(
    _xlpm.searchText, B362,
    _xlpm.matchIndex, MATCH(TRUE, INDEX(ISNUMBER(SEARCH(E:E, _xlpm.searchText)), 0), 0),
    IF(ISNA(_xlpm.matchIndex), "",
       INDEX(F:F, _xlpm.matchIndex)
    )
)</f>
        <v>T3SS_YscJ_HrcJ</v>
      </c>
      <c r="G362" t="str">
        <f t="shared" si="5"/>
        <v>Yersinia</v>
      </c>
    </row>
    <row r="363" spans="1:7" x14ac:dyDescent="0.2">
      <c r="A363" t="s">
        <v>373</v>
      </c>
      <c r="B363" t="s">
        <v>603</v>
      </c>
      <c r="C363" t="s">
        <v>883</v>
      </c>
      <c r="D363" t="str" cm="1">
        <f t="array" ref="D363">_xlfn.LET(
    _xlpm.searchText, B363,
    _xlpm.matchIndex, MATCH(TRUE, INDEX(ISNUMBER(SEARCH(E:E, _xlpm.searchText)), 0), 0),
    IF(ISNA(_xlpm.matchIndex), "",
       INDEX(F:F, _xlpm.matchIndex)
    )
)</f>
        <v>FliF</v>
      </c>
      <c r="G363" t="str">
        <f t="shared" si="5"/>
        <v>Yersinia</v>
      </c>
    </row>
    <row r="364" spans="1:7" x14ac:dyDescent="0.2">
      <c r="A364" t="s">
        <v>374</v>
      </c>
      <c r="B364" t="s">
        <v>603</v>
      </c>
      <c r="C364" t="s">
        <v>883</v>
      </c>
      <c r="D364" t="str" cm="1">
        <f t="array" ref="D364">_xlfn.LET(
    _xlpm.searchText, B364,
    _xlpm.matchIndex, MATCH(TRUE, INDEX(ISNUMBER(SEARCH(E:E, _xlpm.searchText)), 0), 0),
    IF(ISNA(_xlpm.matchIndex), "",
       INDEX(F:F, _xlpm.matchIndex)
    )
)</f>
        <v>FliF</v>
      </c>
      <c r="G364" t="str">
        <f t="shared" si="5"/>
        <v>Yersinia</v>
      </c>
    </row>
    <row r="365" spans="1:7" x14ac:dyDescent="0.2">
      <c r="A365" t="s">
        <v>375</v>
      </c>
      <c r="B365" t="s">
        <v>613</v>
      </c>
      <c r="C365" t="s">
        <v>883</v>
      </c>
      <c r="D365" t="str" cm="1">
        <f t="array" ref="D365">_xlfn.LET(
    _xlpm.searchText, B365,
    _xlpm.matchIndex, MATCH(TRUE, INDEX(ISNUMBER(SEARCH(E:E, _xlpm.searchText)), 0), 0),
    IF(ISNA(_xlpm.matchIndex), "",
       INDEX(F:F, _xlpm.matchIndex)
    )
)</f>
        <v>T3SS_YscJ_HrcJ</v>
      </c>
      <c r="G365" t="str">
        <f t="shared" si="5"/>
        <v>Yersinia</v>
      </c>
    </row>
    <row r="366" spans="1:7" x14ac:dyDescent="0.2">
      <c r="A366" t="s">
        <v>376</v>
      </c>
      <c r="B366" t="s">
        <v>603</v>
      </c>
      <c r="C366" t="s">
        <v>884</v>
      </c>
      <c r="D366" t="str" cm="1">
        <f t="array" ref="D366">_xlfn.LET(
    _xlpm.searchText, B366,
    _xlpm.matchIndex, MATCH(TRUE, INDEX(ISNUMBER(SEARCH(E:E, _xlpm.searchText)), 0), 0),
    IF(ISNA(_xlpm.matchIndex), "",
       INDEX(F:F, _xlpm.matchIndex)
    )
)</f>
        <v>FliF</v>
      </c>
      <c r="G366" t="str">
        <f t="shared" si="5"/>
        <v>Atlantibacter</v>
      </c>
    </row>
    <row r="367" spans="1:7" x14ac:dyDescent="0.2">
      <c r="A367" t="s">
        <v>377</v>
      </c>
      <c r="B367" t="s">
        <v>584</v>
      </c>
      <c r="C367" t="s">
        <v>885</v>
      </c>
      <c r="D367" t="str" cm="1">
        <f t="array" ref="D367">_xlfn.LET(
    _xlpm.searchText, B367,
    _xlpm.matchIndex, MATCH(TRUE, INDEX(ISNUMBER(SEARCH(E:E, _xlpm.searchText)), 0), 0),
    IF(ISNA(_xlpm.matchIndex), "",
       INDEX(F:F, _xlpm.matchIndex)
    )
)</f>
        <v>FliF</v>
      </c>
      <c r="G367" t="str">
        <f t="shared" si="5"/>
        <v>Enterobacter</v>
      </c>
    </row>
    <row r="368" spans="1:7" x14ac:dyDescent="0.2">
      <c r="A368" t="s">
        <v>378</v>
      </c>
      <c r="B368" t="s">
        <v>603</v>
      </c>
      <c r="C368" t="s">
        <v>885</v>
      </c>
      <c r="D368" t="str" cm="1">
        <f t="array" ref="D368">_xlfn.LET(
    _xlpm.searchText, B368,
    _xlpm.matchIndex, MATCH(TRUE, INDEX(ISNUMBER(SEARCH(E:E, _xlpm.searchText)), 0), 0),
    IF(ISNA(_xlpm.matchIndex), "",
       INDEX(F:F, _xlpm.matchIndex)
    )
)</f>
        <v>FliF</v>
      </c>
      <c r="G368" t="str">
        <f t="shared" si="5"/>
        <v>Enterobacter</v>
      </c>
    </row>
    <row r="369" spans="1:7" x14ac:dyDescent="0.2">
      <c r="A369" t="s">
        <v>379</v>
      </c>
      <c r="B369" t="s">
        <v>584</v>
      </c>
      <c r="C369" t="s">
        <v>885</v>
      </c>
      <c r="D369" t="str" cm="1">
        <f t="array" ref="D369">_xlfn.LET(
    _xlpm.searchText, B369,
    _xlpm.matchIndex, MATCH(TRUE, INDEX(ISNUMBER(SEARCH(E:E, _xlpm.searchText)), 0), 0),
    IF(ISNA(_xlpm.matchIndex), "",
       INDEX(F:F, _xlpm.matchIndex)
    )
)</f>
        <v>FliF</v>
      </c>
      <c r="G369" t="str">
        <f t="shared" si="5"/>
        <v>Enterobacter</v>
      </c>
    </row>
    <row r="370" spans="1:7" x14ac:dyDescent="0.2">
      <c r="A370" t="s">
        <v>380</v>
      </c>
      <c r="B370" t="s">
        <v>603</v>
      </c>
      <c r="C370" t="s">
        <v>886</v>
      </c>
      <c r="D370" t="str" cm="1">
        <f t="array" ref="D370">_xlfn.LET(
    _xlpm.searchText, B370,
    _xlpm.matchIndex, MATCH(TRUE, INDEX(ISNUMBER(SEARCH(E:E, _xlpm.searchText)), 0), 0),
    IF(ISNA(_xlpm.matchIndex), "",
       INDEX(F:F, _xlpm.matchIndex)
    )
)</f>
        <v>FliF</v>
      </c>
      <c r="G370" t="str">
        <f t="shared" si="5"/>
        <v>Enterobacter</v>
      </c>
    </row>
    <row r="371" spans="1:7" x14ac:dyDescent="0.2">
      <c r="A371" t="s">
        <v>381</v>
      </c>
      <c r="B371" t="s">
        <v>584</v>
      </c>
      <c r="C371" t="s">
        <v>886</v>
      </c>
      <c r="D371" t="str" cm="1">
        <f t="array" ref="D371">_xlfn.LET(
    _xlpm.searchText, B371,
    _xlpm.matchIndex, MATCH(TRUE, INDEX(ISNUMBER(SEARCH(E:E, _xlpm.searchText)), 0), 0),
    IF(ISNA(_xlpm.matchIndex), "",
       INDEX(F:F, _xlpm.matchIndex)
    )
)</f>
        <v>FliF</v>
      </c>
      <c r="G371" t="str">
        <f t="shared" si="5"/>
        <v>Enterobacter</v>
      </c>
    </row>
    <row r="372" spans="1:7" x14ac:dyDescent="0.2">
      <c r="A372" t="s">
        <v>382</v>
      </c>
      <c r="B372" t="s">
        <v>584</v>
      </c>
      <c r="C372" t="s">
        <v>887</v>
      </c>
      <c r="D372" t="str" cm="1">
        <f t="array" ref="D372">_xlfn.LET(
    _xlpm.searchText, B372,
    _xlpm.matchIndex, MATCH(TRUE, INDEX(ISNUMBER(SEARCH(E:E, _xlpm.searchText)), 0), 0),
    IF(ISNA(_xlpm.matchIndex), "",
       INDEX(F:F, _xlpm.matchIndex)
    )
)</f>
        <v>FliF</v>
      </c>
      <c r="G372" t="str">
        <f t="shared" si="5"/>
        <v>Yersinia</v>
      </c>
    </row>
    <row r="373" spans="1:7" x14ac:dyDescent="0.2">
      <c r="A373" t="s">
        <v>383</v>
      </c>
      <c r="B373" t="s">
        <v>595</v>
      </c>
      <c r="C373" t="s">
        <v>887</v>
      </c>
      <c r="D373" t="str" cm="1">
        <f t="array" ref="D373">_xlfn.LET(
    _xlpm.searchText, B373,
    _xlpm.matchIndex, MATCH(TRUE, INDEX(ISNUMBER(SEARCH(E:E, _xlpm.searchText)), 0), 0),
    IF(ISNA(_xlpm.matchIndex), "",
       INDEX(F:F, _xlpm.matchIndex)
    )
)</f>
        <v>FliF</v>
      </c>
      <c r="G373" t="str">
        <f t="shared" si="5"/>
        <v>Yersinia</v>
      </c>
    </row>
    <row r="374" spans="1:7" x14ac:dyDescent="0.2">
      <c r="A374" t="s">
        <v>384</v>
      </c>
      <c r="B374" t="s">
        <v>584</v>
      </c>
      <c r="C374" t="s">
        <v>887</v>
      </c>
      <c r="D374" t="str" cm="1">
        <f t="array" ref="D374">_xlfn.LET(
    _xlpm.searchText, B374,
    _xlpm.matchIndex, MATCH(TRUE, INDEX(ISNUMBER(SEARCH(E:E, _xlpm.searchText)), 0), 0),
    IF(ISNA(_xlpm.matchIndex), "",
       INDEX(F:F, _xlpm.matchIndex)
    )
)</f>
        <v>FliF</v>
      </c>
      <c r="G374" t="str">
        <f t="shared" si="5"/>
        <v>Yersinia</v>
      </c>
    </row>
    <row r="375" spans="1:7" x14ac:dyDescent="0.2">
      <c r="A375" t="s">
        <v>385</v>
      </c>
      <c r="B375" t="s">
        <v>601</v>
      </c>
      <c r="C375" t="s">
        <v>887</v>
      </c>
      <c r="D375" t="str" cm="1">
        <f t="array" ref="D375">_xlfn.LET(
    _xlpm.searchText, B375,
    _xlpm.matchIndex, MATCH(TRUE, INDEX(ISNUMBER(SEARCH(E:E, _xlpm.searchText)), 0), 0),
    IF(ISNA(_xlpm.matchIndex), "",
       INDEX(F:F, _xlpm.matchIndex)
    )
)</f>
        <v>T3SS</v>
      </c>
      <c r="G375" t="str">
        <f t="shared" si="5"/>
        <v>Yersinia</v>
      </c>
    </row>
    <row r="376" spans="1:7" x14ac:dyDescent="0.2">
      <c r="A376" t="s">
        <v>386</v>
      </c>
      <c r="B376" t="s">
        <v>645</v>
      </c>
      <c r="C376" t="s">
        <v>888</v>
      </c>
      <c r="D376" t="str" cm="1">
        <f t="array" ref="D376">_xlfn.LET(
    _xlpm.searchText, B376,
    _xlpm.matchIndex, MATCH(TRUE, INDEX(ISNUMBER(SEARCH(E:E, _xlpm.searchText)), 0), 0),
    IF(ISNA(_xlpm.matchIndex), "",
       INDEX(F:F, _xlpm.matchIndex)
    )
)</f>
        <v>FliF</v>
      </c>
      <c r="G376" t="str">
        <f t="shared" si="5"/>
        <v>Nitrospira</v>
      </c>
    </row>
    <row r="377" spans="1:7" x14ac:dyDescent="0.2">
      <c r="A377" t="s">
        <v>387</v>
      </c>
      <c r="B377" t="s">
        <v>584</v>
      </c>
      <c r="C377" t="s">
        <v>889</v>
      </c>
      <c r="D377" t="str" cm="1">
        <f t="array" ref="D377">_xlfn.LET(
    _xlpm.searchText, B377,
    _xlpm.matchIndex, MATCH(TRUE, INDEX(ISNUMBER(SEARCH(E:E, _xlpm.searchText)), 0), 0),
    IF(ISNA(_xlpm.matchIndex), "",
       INDEX(F:F, _xlpm.matchIndex)
    )
)</f>
        <v>FliF</v>
      </c>
      <c r="G377" t="str">
        <f t="shared" si="5"/>
        <v>Pluralibacter</v>
      </c>
    </row>
    <row r="378" spans="1:7" x14ac:dyDescent="0.2">
      <c r="A378" t="s">
        <v>388</v>
      </c>
      <c r="B378" t="s">
        <v>654</v>
      </c>
      <c r="C378" t="s">
        <v>889</v>
      </c>
      <c r="D378" t="str" cm="1">
        <f t="array" ref="D378">_xlfn.LET(
    _xlpm.searchText, B378,
    _xlpm.matchIndex, MATCH(TRUE, INDEX(ISNUMBER(SEARCH(E:E, _xlpm.searchText)), 0), 0),
    IF(ISNA(_xlpm.matchIndex), "",
       INDEX(F:F, _xlpm.matchIndex)
    )
)</f>
        <v>hypothetical</v>
      </c>
      <c r="G378" t="str">
        <f t="shared" si="5"/>
        <v>Pluralibacter</v>
      </c>
    </row>
    <row r="379" spans="1:7" x14ac:dyDescent="0.2">
      <c r="A379" t="s">
        <v>389</v>
      </c>
      <c r="B379" t="s">
        <v>584</v>
      </c>
      <c r="C379" t="s">
        <v>890</v>
      </c>
      <c r="D379" t="str" cm="1">
        <f t="array" ref="D379">_xlfn.LET(
    _xlpm.searchText, B379,
    _xlpm.matchIndex, MATCH(TRUE, INDEX(ISNUMBER(SEARCH(E:E, _xlpm.searchText)), 0), 0),
    IF(ISNA(_xlpm.matchIndex), "",
       INDEX(F:F, _xlpm.matchIndex)
    )
)</f>
        <v>FliF</v>
      </c>
      <c r="G379" t="str">
        <f t="shared" si="5"/>
        <v>Campylobacter</v>
      </c>
    </row>
    <row r="380" spans="1:7" x14ac:dyDescent="0.2">
      <c r="A380" t="s">
        <v>390</v>
      </c>
      <c r="B380" t="s">
        <v>655</v>
      </c>
      <c r="C380" t="s">
        <v>891</v>
      </c>
      <c r="D380" t="str" cm="1">
        <f t="array" ref="D380">_xlfn.LET(
    _xlpm.searchText, B380,
    _xlpm.matchIndex, MATCH(TRUE, INDEX(ISNUMBER(SEARCH(E:E, _xlpm.searchText)), 0), 0),
    IF(ISNA(_xlpm.matchIndex), "",
       INDEX(F:F, _xlpm.matchIndex)
    )
)</f>
        <v>Nodulation</v>
      </c>
      <c r="G380" t="str">
        <f t="shared" si="5"/>
        <v>Candidatus</v>
      </c>
    </row>
    <row r="381" spans="1:7" x14ac:dyDescent="0.2">
      <c r="A381" t="s">
        <v>392</v>
      </c>
      <c r="B381" t="s">
        <v>584</v>
      </c>
      <c r="C381" t="s">
        <v>892</v>
      </c>
      <c r="D381" t="str" cm="1">
        <f t="array" ref="D381">_xlfn.LET(
    _xlpm.searchText, B381,
    _xlpm.matchIndex, MATCH(TRUE, INDEX(ISNUMBER(SEARCH(E:E, _xlpm.searchText)), 0), 0),
    IF(ISNA(_xlpm.matchIndex), "",
       INDEX(F:F, _xlpm.matchIndex)
    )
)</f>
        <v>FliF</v>
      </c>
      <c r="G381" t="str">
        <f t="shared" si="5"/>
        <v>Yersinia</v>
      </c>
    </row>
    <row r="382" spans="1:7" x14ac:dyDescent="0.2">
      <c r="A382" t="s">
        <v>393</v>
      </c>
      <c r="B382" t="s">
        <v>584</v>
      </c>
      <c r="C382" t="s">
        <v>892</v>
      </c>
      <c r="D382" t="str" cm="1">
        <f t="array" ref="D382">_xlfn.LET(
    _xlpm.searchText, B382,
    _xlpm.matchIndex, MATCH(TRUE, INDEX(ISNUMBER(SEARCH(E:E, _xlpm.searchText)), 0), 0),
    IF(ISNA(_xlpm.matchIndex), "",
       INDEX(F:F, _xlpm.matchIndex)
    )
)</f>
        <v>FliF</v>
      </c>
      <c r="G382" t="str">
        <f t="shared" si="5"/>
        <v>Yersinia</v>
      </c>
    </row>
    <row r="383" spans="1:7" x14ac:dyDescent="0.2">
      <c r="A383" t="s">
        <v>394</v>
      </c>
      <c r="B383" t="s">
        <v>601</v>
      </c>
      <c r="C383" t="s">
        <v>892</v>
      </c>
      <c r="D383" t="str" cm="1">
        <f t="array" ref="D383">_xlfn.LET(
    _xlpm.searchText, B383,
    _xlpm.matchIndex, MATCH(TRUE, INDEX(ISNUMBER(SEARCH(E:E, _xlpm.searchText)), 0), 0),
    IF(ISNA(_xlpm.matchIndex), "",
       INDEX(F:F, _xlpm.matchIndex)
    )
)</f>
        <v>T3SS</v>
      </c>
      <c r="G383" t="str">
        <f t="shared" si="5"/>
        <v>Yersinia</v>
      </c>
    </row>
    <row r="384" spans="1:7" x14ac:dyDescent="0.2">
      <c r="A384" t="s">
        <v>395</v>
      </c>
      <c r="B384" t="s">
        <v>595</v>
      </c>
      <c r="C384" t="s">
        <v>892</v>
      </c>
      <c r="D384" t="str" cm="1">
        <f t="array" ref="D384">_xlfn.LET(
    _xlpm.searchText, B384,
    _xlpm.matchIndex, MATCH(TRUE, INDEX(ISNUMBER(SEARCH(E:E, _xlpm.searchText)), 0), 0),
    IF(ISNA(_xlpm.matchIndex), "",
       INDEX(F:F, _xlpm.matchIndex)
    )
)</f>
        <v>FliF</v>
      </c>
      <c r="G384" t="str">
        <f t="shared" si="5"/>
        <v>Yersinia</v>
      </c>
    </row>
    <row r="385" spans="1:7" x14ac:dyDescent="0.2">
      <c r="A385" t="s">
        <v>396</v>
      </c>
      <c r="B385" t="s">
        <v>603</v>
      </c>
      <c r="C385" t="s">
        <v>893</v>
      </c>
      <c r="D385" t="str" cm="1">
        <f t="array" ref="D385">_xlfn.LET(
    _xlpm.searchText, B385,
    _xlpm.matchIndex, MATCH(TRUE, INDEX(ISNUMBER(SEARCH(E:E, _xlpm.searchText)), 0), 0),
    IF(ISNA(_xlpm.matchIndex), "",
       INDEX(F:F, _xlpm.matchIndex)
    )
)</f>
        <v>FliF</v>
      </c>
      <c r="G385" t="str">
        <f t="shared" si="5"/>
        <v>Pantoea</v>
      </c>
    </row>
    <row r="386" spans="1:7" x14ac:dyDescent="0.2">
      <c r="A386" t="s">
        <v>397</v>
      </c>
      <c r="B386" t="s">
        <v>584</v>
      </c>
      <c r="C386" t="s">
        <v>893</v>
      </c>
      <c r="D386" t="str" cm="1">
        <f t="array" ref="D386">_xlfn.LET(
    _xlpm.searchText, B386,
    _xlpm.matchIndex, MATCH(TRUE, INDEX(ISNUMBER(SEARCH(E:E, _xlpm.searchText)), 0), 0),
    IF(ISNA(_xlpm.matchIndex), "",
       INDEX(F:F, _xlpm.matchIndex)
    )
)</f>
        <v>FliF</v>
      </c>
      <c r="G386" t="str">
        <f t="shared" si="5"/>
        <v>Pantoea</v>
      </c>
    </row>
    <row r="387" spans="1:7" x14ac:dyDescent="0.2">
      <c r="A387" t="s">
        <v>398</v>
      </c>
      <c r="B387" t="s">
        <v>605</v>
      </c>
      <c r="C387" t="s">
        <v>702</v>
      </c>
      <c r="D387" t="str" cm="1">
        <f t="array" ref="D387">_xlfn.LET(
    _xlpm.searchText, B387,
    _xlpm.matchIndex, MATCH(TRUE, INDEX(ISNUMBER(SEARCH(E:E, _xlpm.searchText)), 0), 0),
    IF(ISNA(_xlpm.matchIndex), "",
       INDEX(F:F, _xlpm.matchIndex)
    )
)</f>
        <v>FliF</v>
      </c>
      <c r="G387" t="str">
        <f t="shared" si="5"/>
        <v>Clostridium</v>
      </c>
    </row>
    <row r="388" spans="1:7" x14ac:dyDescent="0.2">
      <c r="A388" t="s">
        <v>399</v>
      </c>
      <c r="B388" t="s">
        <v>603</v>
      </c>
      <c r="C388" t="s">
        <v>703</v>
      </c>
      <c r="D388" t="str" cm="1">
        <f t="array" ref="D388">_xlfn.LET(
    _xlpm.searchText, B388,
    _xlpm.matchIndex, MATCH(TRUE, INDEX(ISNUMBER(SEARCH(E:E, _xlpm.searchText)), 0), 0),
    IF(ISNA(_xlpm.matchIndex), "",
       INDEX(F:F, _xlpm.matchIndex)
    )
)</f>
        <v>FliF</v>
      </c>
      <c r="G388" t="str">
        <f t="shared" ref="G388:G451" si="6">IFERROR(_xlfn.TEXTBEFORE(C388, " "), C388)</f>
        <v>Limnochorda</v>
      </c>
    </row>
    <row r="389" spans="1:7" x14ac:dyDescent="0.2">
      <c r="A389" t="s">
        <v>400</v>
      </c>
      <c r="B389" t="s">
        <v>656</v>
      </c>
      <c r="C389" t="s">
        <v>894</v>
      </c>
      <c r="D389" t="str" cm="1">
        <f t="array" ref="D389">_xlfn.LET(
    _xlpm.searchText, B389,
    _xlpm.matchIndex, MATCH(TRUE, INDEX(ISNUMBER(SEARCH(E:E, _xlpm.searchText)), 0), 0),
    IF(ISNA(_xlpm.matchIndex), "",
       INDEX(F:F, _xlpm.matchIndex)
    )
)</f>
        <v>T3SS_YscJ_HrcJ</v>
      </c>
      <c r="G389" t="str">
        <f t="shared" si="6"/>
        <v>Obesumbacterium</v>
      </c>
    </row>
    <row r="390" spans="1:7" x14ac:dyDescent="0.2">
      <c r="A390" t="s">
        <v>401</v>
      </c>
      <c r="B390" t="s">
        <v>584</v>
      </c>
      <c r="C390" t="s">
        <v>894</v>
      </c>
      <c r="D390" t="str" cm="1">
        <f t="array" ref="D390">_xlfn.LET(
    _xlpm.searchText, B390,
    _xlpm.matchIndex, MATCH(TRUE, INDEX(ISNUMBER(SEARCH(E:E, _xlpm.searchText)), 0), 0),
    IF(ISNA(_xlpm.matchIndex), "",
       INDEX(F:F, _xlpm.matchIndex)
    )
)</f>
        <v>FliF</v>
      </c>
      <c r="G390" t="str">
        <f t="shared" si="6"/>
        <v>Obesumbacterium</v>
      </c>
    </row>
    <row r="391" spans="1:7" x14ac:dyDescent="0.2">
      <c r="A391" t="s">
        <v>402</v>
      </c>
      <c r="B391" t="s">
        <v>603</v>
      </c>
      <c r="C391" t="s">
        <v>894</v>
      </c>
      <c r="D391" t="str" cm="1">
        <f t="array" ref="D391">_xlfn.LET(
    _xlpm.searchText, B391,
    _xlpm.matchIndex, MATCH(TRUE, INDEX(ISNUMBER(SEARCH(E:E, _xlpm.searchText)), 0), 0),
    IF(ISNA(_xlpm.matchIndex), "",
       INDEX(F:F, _xlpm.matchIndex)
    )
)</f>
        <v>FliF</v>
      </c>
      <c r="G391" t="str">
        <f t="shared" si="6"/>
        <v>Obesumbacterium</v>
      </c>
    </row>
    <row r="392" spans="1:7" x14ac:dyDescent="0.2">
      <c r="A392" t="s">
        <v>403</v>
      </c>
      <c r="B392" t="s">
        <v>603</v>
      </c>
      <c r="C392" t="s">
        <v>895</v>
      </c>
      <c r="D392" t="str" cm="1">
        <f t="array" ref="D392">_xlfn.LET(
    _xlpm.searchText, B392,
    _xlpm.matchIndex, MATCH(TRUE, INDEX(ISNUMBER(SEARCH(E:E, _xlpm.searchText)), 0), 0),
    IF(ISNA(_xlpm.matchIndex), "",
       INDEX(F:F, _xlpm.matchIndex)
    )
)</f>
        <v>FliF</v>
      </c>
      <c r="G392" t="str">
        <f t="shared" si="6"/>
        <v>Xenorhabdus</v>
      </c>
    </row>
    <row r="393" spans="1:7" x14ac:dyDescent="0.2">
      <c r="A393" t="s">
        <v>404</v>
      </c>
      <c r="B393" t="s">
        <v>603</v>
      </c>
      <c r="C393" t="s">
        <v>896</v>
      </c>
      <c r="D393" t="str" cm="1">
        <f t="array" ref="D393">_xlfn.LET(
    _xlpm.searchText, B393,
    _xlpm.matchIndex, MATCH(TRUE, INDEX(ISNUMBER(SEARCH(E:E, _xlpm.searchText)), 0), 0),
    IF(ISNA(_xlpm.matchIndex), "",
       INDEX(F:F, _xlpm.matchIndex)
    )
)</f>
        <v>FliF</v>
      </c>
      <c r="G393" t="str">
        <f t="shared" si="6"/>
        <v>Sulfurospirillum</v>
      </c>
    </row>
    <row r="394" spans="1:7" x14ac:dyDescent="0.2">
      <c r="A394" t="s">
        <v>405</v>
      </c>
      <c r="B394" t="s">
        <v>603</v>
      </c>
      <c r="C394" t="s">
        <v>897</v>
      </c>
      <c r="D394" t="str" cm="1">
        <f t="array" ref="D394">_xlfn.LET(
    _xlpm.searchText, B394,
    _xlpm.matchIndex, MATCH(TRUE, INDEX(ISNUMBER(SEARCH(E:E, _xlpm.searchText)), 0), 0),
    IF(ISNA(_xlpm.matchIndex), "",
       INDEX(F:F, _xlpm.matchIndex)
    )
)</f>
        <v>FliF</v>
      </c>
      <c r="G394" t="str">
        <f t="shared" si="6"/>
        <v>Legionella</v>
      </c>
    </row>
    <row r="395" spans="1:7" x14ac:dyDescent="0.2">
      <c r="A395" t="s">
        <v>406</v>
      </c>
      <c r="B395" t="s">
        <v>595</v>
      </c>
      <c r="C395" t="s">
        <v>704</v>
      </c>
      <c r="D395" t="str" cm="1">
        <f t="array" ref="D395">_xlfn.LET(
    _xlpm.searchText, B395,
    _xlpm.matchIndex, MATCH(TRUE, INDEX(ISNUMBER(SEARCH(E:E, _xlpm.searchText)), 0), 0),
    IF(ISNA(_xlpm.matchIndex), "",
       INDEX(F:F, _xlpm.matchIndex)
    )
)</f>
        <v>FliF</v>
      </c>
      <c r="G395" t="str">
        <f t="shared" si="6"/>
        <v>Moorella</v>
      </c>
    </row>
    <row r="396" spans="1:7" x14ac:dyDescent="0.2">
      <c r="A396" t="s">
        <v>407</v>
      </c>
      <c r="B396" t="s">
        <v>603</v>
      </c>
      <c r="C396" t="s">
        <v>898</v>
      </c>
      <c r="D396" t="str" cm="1">
        <f t="array" ref="D396">_xlfn.LET(
    _xlpm.searchText, B396,
    _xlpm.matchIndex, MATCH(TRUE, INDEX(ISNUMBER(SEARCH(E:E, _xlpm.searchText)), 0), 0),
    IF(ISNA(_xlpm.matchIndex), "",
       INDEX(F:F, _xlpm.matchIndex)
    )
)</f>
        <v>FliF</v>
      </c>
      <c r="G396" t="str">
        <f t="shared" si="6"/>
        <v>Rhodoferax</v>
      </c>
    </row>
    <row r="397" spans="1:7" x14ac:dyDescent="0.2">
      <c r="A397" t="s">
        <v>408</v>
      </c>
      <c r="B397" t="s">
        <v>603</v>
      </c>
      <c r="C397" t="s">
        <v>899</v>
      </c>
      <c r="D397" t="str" cm="1">
        <f t="array" ref="D397">_xlfn.LET(
    _xlpm.searchText, B397,
    _xlpm.matchIndex, MATCH(TRUE, INDEX(ISNUMBER(SEARCH(E:E, _xlpm.searchText)), 0), 0),
    IF(ISNA(_xlpm.matchIndex), "",
       INDEX(F:F, _xlpm.matchIndex)
    )
)</f>
        <v>FliF</v>
      </c>
      <c r="G397" t="str">
        <f t="shared" si="6"/>
        <v>Pantoea</v>
      </c>
    </row>
    <row r="398" spans="1:7" x14ac:dyDescent="0.2">
      <c r="A398" t="s">
        <v>409</v>
      </c>
      <c r="B398" t="s">
        <v>603</v>
      </c>
      <c r="C398" t="s">
        <v>899</v>
      </c>
      <c r="D398" t="str" cm="1">
        <f t="array" ref="D398">_xlfn.LET(
    _xlpm.searchText, B398,
    _xlpm.matchIndex, MATCH(TRUE, INDEX(ISNUMBER(SEARCH(E:E, _xlpm.searchText)), 0), 0),
    IF(ISNA(_xlpm.matchIndex), "",
       INDEX(F:F, _xlpm.matchIndex)
    )
)</f>
        <v>FliF</v>
      </c>
      <c r="G398" t="str">
        <f t="shared" si="6"/>
        <v>Pantoea</v>
      </c>
    </row>
    <row r="399" spans="1:7" x14ac:dyDescent="0.2">
      <c r="A399" t="s">
        <v>410</v>
      </c>
      <c r="B399" t="s">
        <v>645</v>
      </c>
      <c r="C399" t="s">
        <v>900</v>
      </c>
      <c r="D399" t="str" cm="1">
        <f t="array" ref="D399">_xlfn.LET(
    _xlpm.searchText, B399,
    _xlpm.matchIndex, MATCH(TRUE, INDEX(ISNUMBER(SEARCH(E:E, _xlpm.searchText)), 0), 0),
    IF(ISNA(_xlpm.matchIndex), "",
       INDEX(F:F, _xlpm.matchIndex)
    )
)</f>
        <v>FliF</v>
      </c>
      <c r="G399" t="str">
        <f t="shared" si="6"/>
        <v>Desulfurella</v>
      </c>
    </row>
    <row r="400" spans="1:7" x14ac:dyDescent="0.2">
      <c r="A400" t="s">
        <v>411</v>
      </c>
      <c r="B400" t="s">
        <v>657</v>
      </c>
      <c r="C400" t="s">
        <v>901</v>
      </c>
      <c r="D400" t="str" cm="1">
        <f t="array" ref="D400">_xlfn.LET(
    _xlpm.searchText, B400,
    _xlpm.matchIndex, MATCH(TRUE, INDEX(ISNUMBER(SEARCH(E:E, _xlpm.searchText)), 0), 0),
    IF(ISNA(_xlpm.matchIndex), "",
       INDEX(F:F, _xlpm.matchIndex)
    )
)</f>
        <v>hypothetical</v>
      </c>
      <c r="G400" t="str">
        <f t="shared" si="6"/>
        <v>Armatimonadetes</v>
      </c>
    </row>
    <row r="401" spans="1:7" x14ac:dyDescent="0.2">
      <c r="A401" t="s">
        <v>412</v>
      </c>
      <c r="B401" t="s">
        <v>603</v>
      </c>
      <c r="C401" t="s">
        <v>902</v>
      </c>
      <c r="D401" t="str" cm="1">
        <f t="array" ref="D401">_xlfn.LET(
    _xlpm.searchText, B401,
    _xlpm.matchIndex, MATCH(TRUE, INDEX(ISNUMBER(SEARCH(E:E, _xlpm.searchText)), 0), 0),
    IF(ISNA(_xlpm.matchIndex), "",
       INDEX(F:F, _xlpm.matchIndex)
    )
)</f>
        <v>FliF</v>
      </c>
      <c r="G401" t="str">
        <f t="shared" si="6"/>
        <v>Tatumella</v>
      </c>
    </row>
    <row r="402" spans="1:7" x14ac:dyDescent="0.2">
      <c r="A402" t="s">
        <v>413</v>
      </c>
      <c r="B402" t="s">
        <v>603</v>
      </c>
      <c r="C402" t="s">
        <v>887</v>
      </c>
      <c r="D402" t="str" cm="1">
        <f t="array" ref="D402">_xlfn.LET(
    _xlpm.searchText, B402,
    _xlpm.matchIndex, MATCH(TRUE, INDEX(ISNUMBER(SEARCH(E:E, _xlpm.searchText)), 0), 0),
    IF(ISNA(_xlpm.matchIndex), "",
       INDEX(F:F, _xlpm.matchIndex)
    )
)</f>
        <v>FliF</v>
      </c>
      <c r="G402" t="str">
        <f t="shared" si="6"/>
        <v>Yersinia</v>
      </c>
    </row>
    <row r="403" spans="1:7" x14ac:dyDescent="0.2">
      <c r="A403" t="s">
        <v>414</v>
      </c>
      <c r="B403" t="s">
        <v>603</v>
      </c>
      <c r="C403" t="s">
        <v>705</v>
      </c>
      <c r="D403" t="str" cm="1">
        <f t="array" ref="D403">_xlfn.LET(
    _xlpm.searchText, B403,
    _xlpm.matchIndex, MATCH(TRUE, INDEX(ISNUMBER(SEARCH(E:E, _xlpm.searchText)), 0), 0),
    IF(ISNA(_xlpm.matchIndex), "",
       INDEX(F:F, _xlpm.matchIndex)
    )
)</f>
        <v>FliF</v>
      </c>
      <c r="G403" t="str">
        <f t="shared" si="6"/>
        <v>Natranaerobius</v>
      </c>
    </row>
    <row r="404" spans="1:7" x14ac:dyDescent="0.2">
      <c r="A404" t="s">
        <v>415</v>
      </c>
      <c r="B404" t="s">
        <v>603</v>
      </c>
      <c r="C404" t="s">
        <v>903</v>
      </c>
      <c r="D404" t="str" cm="1">
        <f t="array" ref="D404">_xlfn.LET(
    _xlpm.searchText, B404,
    _xlpm.matchIndex, MATCH(TRUE, INDEX(ISNUMBER(SEARCH(E:E, _xlpm.searchText)), 0), 0),
    IF(ISNA(_xlpm.matchIndex), "",
       INDEX(F:F, _xlpm.matchIndex)
    )
)</f>
        <v>FliF</v>
      </c>
      <c r="G404" t="str">
        <f t="shared" si="6"/>
        <v>Enterobacter</v>
      </c>
    </row>
    <row r="405" spans="1:7" x14ac:dyDescent="0.2">
      <c r="A405" t="s">
        <v>416</v>
      </c>
      <c r="B405" t="s">
        <v>603</v>
      </c>
      <c r="C405" t="s">
        <v>904</v>
      </c>
      <c r="D405" t="str" cm="1">
        <f t="array" ref="D405">_xlfn.LET(
    _xlpm.searchText, B405,
    _xlpm.matchIndex, MATCH(TRUE, INDEX(ISNUMBER(SEARCH(E:E, _xlpm.searchText)), 0), 0),
    IF(ISNA(_xlpm.matchIndex), "",
       INDEX(F:F, _xlpm.matchIndex)
    )
)</f>
        <v>FliF</v>
      </c>
      <c r="G405" t="str">
        <f t="shared" si="6"/>
        <v>Nibricoccus</v>
      </c>
    </row>
    <row r="406" spans="1:7" x14ac:dyDescent="0.2">
      <c r="A406" t="s">
        <v>417</v>
      </c>
      <c r="B406" t="s">
        <v>603</v>
      </c>
      <c r="C406" t="s">
        <v>706</v>
      </c>
      <c r="D406" t="str" cm="1">
        <f t="array" ref="D406">_xlfn.LET(
    _xlpm.searchText, B406,
    _xlpm.matchIndex, MATCH(TRUE, INDEX(ISNUMBER(SEARCH(E:E, _xlpm.searchText)), 0), 0),
    IF(ISNA(_xlpm.matchIndex), "",
       INDEX(F:F, _xlpm.matchIndex)
    )
)</f>
        <v>FliF</v>
      </c>
      <c r="G406" t="str">
        <f t="shared" si="6"/>
        <v>Brevibacillus</v>
      </c>
    </row>
    <row r="407" spans="1:7" x14ac:dyDescent="0.2">
      <c r="A407" t="s">
        <v>418</v>
      </c>
      <c r="B407" t="s">
        <v>603</v>
      </c>
      <c r="C407" t="s">
        <v>905</v>
      </c>
      <c r="D407" t="str" cm="1">
        <f t="array" ref="D407">_xlfn.LET(
    _xlpm.searchText, B407,
    _xlpm.matchIndex, MATCH(TRUE, INDEX(ISNUMBER(SEARCH(E:E, _xlpm.searchText)), 0), 0),
    IF(ISNA(_xlpm.matchIndex), "",
       INDEX(F:F, _xlpm.matchIndex)
    )
)</f>
        <v>FliF</v>
      </c>
      <c r="G407" t="str">
        <f t="shared" si="6"/>
        <v>Rhizobacter</v>
      </c>
    </row>
    <row r="408" spans="1:7" x14ac:dyDescent="0.2">
      <c r="A408" t="s">
        <v>419</v>
      </c>
      <c r="B408" t="s">
        <v>656</v>
      </c>
      <c r="C408" t="s">
        <v>905</v>
      </c>
      <c r="D408" t="str" cm="1">
        <f t="array" ref="D408">_xlfn.LET(
    _xlpm.searchText, B408,
    _xlpm.matchIndex, MATCH(TRUE, INDEX(ISNUMBER(SEARCH(E:E, _xlpm.searchText)), 0), 0),
    IF(ISNA(_xlpm.matchIndex), "",
       INDEX(F:F, _xlpm.matchIndex)
    )
)</f>
        <v>T3SS_YscJ_HrcJ</v>
      </c>
      <c r="G408" t="str">
        <f t="shared" si="6"/>
        <v>Rhizobacter</v>
      </c>
    </row>
    <row r="409" spans="1:7" x14ac:dyDescent="0.2">
      <c r="A409" t="s">
        <v>420</v>
      </c>
      <c r="B409" t="s">
        <v>603</v>
      </c>
      <c r="C409" t="s">
        <v>905</v>
      </c>
      <c r="D409" t="str" cm="1">
        <f t="array" ref="D409">_xlfn.LET(
    _xlpm.searchText, B409,
    _xlpm.matchIndex, MATCH(TRUE, INDEX(ISNUMBER(SEARCH(E:E, _xlpm.searchText)), 0), 0),
    IF(ISNA(_xlpm.matchIndex), "",
       INDEX(F:F, _xlpm.matchIndex)
    )
)</f>
        <v>FliF</v>
      </c>
      <c r="G409" t="str">
        <f t="shared" si="6"/>
        <v>Rhizobacter</v>
      </c>
    </row>
    <row r="410" spans="1:7" x14ac:dyDescent="0.2">
      <c r="A410" t="s">
        <v>421</v>
      </c>
      <c r="B410" t="s">
        <v>658</v>
      </c>
      <c r="C410" t="s">
        <v>905</v>
      </c>
      <c r="D410" t="str" cm="1">
        <f t="array" ref="D410">_xlfn.LET(
    _xlpm.searchText, B410,
    _xlpm.matchIndex, MATCH(TRUE, INDEX(ISNUMBER(SEARCH(E:E, _xlpm.searchText)), 0), 0),
    IF(ISNA(_xlpm.matchIndex), "",
       INDEX(F:F, _xlpm.matchIndex)
    )
)</f>
        <v>FliF</v>
      </c>
      <c r="G410" t="str">
        <f t="shared" si="6"/>
        <v>Rhizobacter</v>
      </c>
    </row>
    <row r="411" spans="1:7" x14ac:dyDescent="0.2">
      <c r="A411" t="s">
        <v>422</v>
      </c>
      <c r="B411" t="s">
        <v>656</v>
      </c>
      <c r="C411" t="s">
        <v>905</v>
      </c>
      <c r="D411" t="str" cm="1">
        <f t="array" ref="D411">_xlfn.LET(
    _xlpm.searchText, B411,
    _xlpm.matchIndex, MATCH(TRUE, INDEX(ISNUMBER(SEARCH(E:E, _xlpm.searchText)), 0), 0),
    IF(ISNA(_xlpm.matchIndex), "",
       INDEX(F:F, _xlpm.matchIndex)
    )
)</f>
        <v>T3SS_YscJ_HrcJ</v>
      </c>
      <c r="G411" t="str">
        <f t="shared" si="6"/>
        <v>Rhizobacter</v>
      </c>
    </row>
    <row r="412" spans="1:7" x14ac:dyDescent="0.2">
      <c r="A412" t="s">
        <v>423</v>
      </c>
      <c r="B412" t="s">
        <v>603</v>
      </c>
      <c r="C412" t="s">
        <v>906</v>
      </c>
      <c r="D412" t="str" cm="1">
        <f t="array" ref="D412">_xlfn.LET(
    _xlpm.searchText, B412,
    _xlpm.matchIndex, MATCH(TRUE, INDEX(ISNUMBER(SEARCH(E:E, _xlpm.searchText)), 0), 0),
    IF(ISNA(_xlpm.matchIndex), "",
       INDEX(F:F, _xlpm.matchIndex)
    )
)</f>
        <v>FliF</v>
      </c>
      <c r="G412" t="str">
        <f t="shared" si="6"/>
        <v>Mariprofundus</v>
      </c>
    </row>
    <row r="413" spans="1:7" x14ac:dyDescent="0.2">
      <c r="A413" t="s">
        <v>424</v>
      </c>
      <c r="B413" t="s">
        <v>603</v>
      </c>
      <c r="C413" t="s">
        <v>907</v>
      </c>
      <c r="D413" t="str" cm="1">
        <f t="array" ref="D413">_xlfn.LET(
    _xlpm.searchText, B413,
    _xlpm.matchIndex, MATCH(TRUE, INDEX(ISNUMBER(SEARCH(E:E, _xlpm.searchText)), 0), 0),
    IF(ISNA(_xlpm.matchIndex), "",
       INDEX(F:F, _xlpm.matchIndex)
    )
)</f>
        <v>FliF</v>
      </c>
      <c r="G413" t="str">
        <f t="shared" si="6"/>
        <v>Mariprofundus</v>
      </c>
    </row>
    <row r="414" spans="1:7" x14ac:dyDescent="0.2">
      <c r="A414" t="s">
        <v>425</v>
      </c>
      <c r="B414" t="s">
        <v>658</v>
      </c>
      <c r="C414" t="s">
        <v>908</v>
      </c>
      <c r="D414" t="str" cm="1">
        <f t="array" ref="D414">_xlfn.LET(
    _xlpm.searchText, B414,
    _xlpm.matchIndex, MATCH(TRUE, INDEX(ISNUMBER(SEARCH(E:E, _xlpm.searchText)), 0), 0),
    IF(ISNA(_xlpm.matchIndex), "",
       INDEX(F:F, _xlpm.matchIndex)
    )
)</f>
        <v>FliF</v>
      </c>
      <c r="G414" t="str">
        <f t="shared" si="6"/>
        <v>Citrobacter</v>
      </c>
    </row>
    <row r="415" spans="1:7" x14ac:dyDescent="0.2">
      <c r="A415" t="s">
        <v>426</v>
      </c>
      <c r="B415" t="s">
        <v>603</v>
      </c>
      <c r="C415" t="s">
        <v>908</v>
      </c>
      <c r="D415" t="str" cm="1">
        <f t="array" ref="D415">_xlfn.LET(
    _xlpm.searchText, B415,
    _xlpm.matchIndex, MATCH(TRUE, INDEX(ISNUMBER(SEARCH(E:E, _xlpm.searchText)), 0), 0),
    IF(ISNA(_xlpm.matchIndex), "",
       INDEX(F:F, _xlpm.matchIndex)
    )
)</f>
        <v>FliF</v>
      </c>
      <c r="G415" t="str">
        <f t="shared" si="6"/>
        <v>Citrobacter</v>
      </c>
    </row>
    <row r="416" spans="1:7" x14ac:dyDescent="0.2">
      <c r="A416" t="s">
        <v>427</v>
      </c>
      <c r="B416" t="s">
        <v>603</v>
      </c>
      <c r="C416" t="s">
        <v>908</v>
      </c>
      <c r="D416" t="str" cm="1">
        <f t="array" ref="D416">_xlfn.LET(
    _xlpm.searchText, B416,
    _xlpm.matchIndex, MATCH(TRUE, INDEX(ISNUMBER(SEARCH(E:E, _xlpm.searchText)), 0), 0),
    IF(ISNA(_xlpm.matchIndex), "",
       INDEX(F:F, _xlpm.matchIndex)
    )
)</f>
        <v>FliF</v>
      </c>
      <c r="G416" t="str">
        <f t="shared" si="6"/>
        <v>Citrobacter</v>
      </c>
    </row>
    <row r="417" spans="1:7" x14ac:dyDescent="0.2">
      <c r="A417" t="s">
        <v>428</v>
      </c>
      <c r="B417" t="s">
        <v>656</v>
      </c>
      <c r="C417" t="s">
        <v>908</v>
      </c>
      <c r="D417" t="str" cm="1">
        <f t="array" ref="D417">_xlfn.LET(
    _xlpm.searchText, B417,
    _xlpm.matchIndex, MATCH(TRUE, INDEX(ISNUMBER(SEARCH(E:E, _xlpm.searchText)), 0), 0),
    IF(ISNA(_xlpm.matchIndex), "",
       INDEX(F:F, _xlpm.matchIndex)
    )
)</f>
        <v>T3SS_YscJ_HrcJ</v>
      </c>
      <c r="G417" t="str">
        <f t="shared" si="6"/>
        <v>Citrobacter</v>
      </c>
    </row>
    <row r="418" spans="1:7" x14ac:dyDescent="0.2">
      <c r="A418" t="s">
        <v>429</v>
      </c>
      <c r="B418" t="s">
        <v>656</v>
      </c>
      <c r="C418" t="s">
        <v>909</v>
      </c>
      <c r="D418" t="str" cm="1">
        <f t="array" ref="D418">_xlfn.LET(
    _xlpm.searchText, B418,
    _xlpm.matchIndex, MATCH(TRUE, INDEX(ISNUMBER(SEARCH(E:E, _xlpm.searchText)), 0), 0),
    IF(ISNA(_xlpm.matchIndex), "",
       INDEX(F:F, _xlpm.matchIndex)
    )
)</f>
        <v>T3SS_YscJ_HrcJ</v>
      </c>
      <c r="G418" t="str">
        <f t="shared" si="6"/>
        <v>Chlamydia</v>
      </c>
    </row>
    <row r="419" spans="1:7" x14ac:dyDescent="0.2">
      <c r="A419" t="s">
        <v>430</v>
      </c>
      <c r="B419" t="s">
        <v>658</v>
      </c>
      <c r="C419" t="s">
        <v>910</v>
      </c>
      <c r="D419" t="str" cm="1">
        <f t="array" ref="D419">_xlfn.LET(
    _xlpm.searchText, B419,
    _xlpm.matchIndex, MATCH(TRUE, INDEX(ISNUMBER(SEARCH(E:E, _xlpm.searchText)), 0), 0),
    IF(ISNA(_xlpm.matchIndex), "",
       INDEX(F:F, _xlpm.matchIndex)
    )
)</f>
        <v>FliF</v>
      </c>
      <c r="G419" t="str">
        <f t="shared" si="6"/>
        <v>Plesiomonas</v>
      </c>
    </row>
    <row r="420" spans="1:7" x14ac:dyDescent="0.2">
      <c r="A420" t="s">
        <v>431</v>
      </c>
      <c r="B420" t="s">
        <v>603</v>
      </c>
      <c r="C420" t="s">
        <v>910</v>
      </c>
      <c r="D420" t="str" cm="1">
        <f t="array" ref="D420">_xlfn.LET(
    _xlpm.searchText, B420,
    _xlpm.matchIndex, MATCH(TRUE, INDEX(ISNUMBER(SEARCH(E:E, _xlpm.searchText)), 0), 0),
    IF(ISNA(_xlpm.matchIndex), "",
       INDEX(F:F, _xlpm.matchIndex)
    )
)</f>
        <v>FliF</v>
      </c>
      <c r="G420" t="str">
        <f t="shared" si="6"/>
        <v>Plesiomonas</v>
      </c>
    </row>
    <row r="421" spans="1:7" x14ac:dyDescent="0.2">
      <c r="A421" t="s">
        <v>432</v>
      </c>
      <c r="B421" t="s">
        <v>659</v>
      </c>
      <c r="C421" t="s">
        <v>911</v>
      </c>
      <c r="D421" t="str" cm="1">
        <f t="array" ref="D421">_xlfn.LET(
    _xlpm.searchText, B421,
    _xlpm.matchIndex, MATCH(TRUE, INDEX(ISNUMBER(SEARCH(E:E, _xlpm.searchText)), 0), 0),
    IF(ISNA(_xlpm.matchIndex), "",
       INDEX(F:F, _xlpm.matchIndex)
    )
)</f>
        <v>hypothetical</v>
      </c>
      <c r="G421" t="str">
        <f t="shared" si="6"/>
        <v>Bradymonas</v>
      </c>
    </row>
    <row r="422" spans="1:7" x14ac:dyDescent="0.2">
      <c r="A422" t="s">
        <v>433</v>
      </c>
      <c r="B422" t="s">
        <v>660</v>
      </c>
      <c r="C422" t="s">
        <v>912</v>
      </c>
      <c r="D422" t="str" cm="1">
        <f t="array" ref="D422">_xlfn.LET(
    _xlpm.searchText, B422,
    _xlpm.matchIndex, MATCH(TRUE, INDEX(ISNUMBER(SEARCH(E:E, _xlpm.searchText)), 0), 0),
    IF(ISNA(_xlpm.matchIndex), "",
       INDEX(F:F, _xlpm.matchIndex)
    )
)</f>
        <v>FliF</v>
      </c>
      <c r="G422" t="str">
        <f t="shared" si="6"/>
        <v>Candidatus</v>
      </c>
    </row>
    <row r="423" spans="1:7" x14ac:dyDescent="0.2">
      <c r="A423" t="s">
        <v>434</v>
      </c>
      <c r="B423" t="s">
        <v>658</v>
      </c>
      <c r="C423" t="s">
        <v>913</v>
      </c>
      <c r="D423" t="str" cm="1">
        <f t="array" ref="D423">_xlfn.LET(
    _xlpm.searchText, B423,
    _xlpm.matchIndex, MATCH(TRUE, INDEX(ISNUMBER(SEARCH(E:E, _xlpm.searchText)), 0), 0),
    IF(ISNA(_xlpm.matchIndex), "",
       INDEX(F:F, _xlpm.matchIndex)
    )
)</f>
        <v>FliF</v>
      </c>
      <c r="G423" t="str">
        <f t="shared" si="6"/>
        <v>Buttiauxella</v>
      </c>
    </row>
    <row r="424" spans="1:7" x14ac:dyDescent="0.2">
      <c r="A424" t="s">
        <v>435</v>
      </c>
      <c r="B424" t="s">
        <v>658</v>
      </c>
      <c r="C424" t="s">
        <v>913</v>
      </c>
      <c r="D424" t="str" cm="1">
        <f t="array" ref="D424">_xlfn.LET(
    _xlpm.searchText, B424,
    _xlpm.matchIndex, MATCH(TRUE, INDEX(ISNUMBER(SEARCH(E:E, _xlpm.searchText)), 0), 0),
    IF(ISNA(_xlpm.matchIndex), "",
       INDEX(F:F, _xlpm.matchIndex)
    )
)</f>
        <v>FliF</v>
      </c>
      <c r="G424" t="str">
        <f t="shared" si="6"/>
        <v>Buttiauxella</v>
      </c>
    </row>
    <row r="425" spans="1:7" x14ac:dyDescent="0.2">
      <c r="A425" t="s">
        <v>436</v>
      </c>
      <c r="B425" t="s">
        <v>603</v>
      </c>
      <c r="C425" t="s">
        <v>913</v>
      </c>
      <c r="D425" t="str" cm="1">
        <f t="array" ref="D425">_xlfn.LET(
    _xlpm.searchText, B425,
    _xlpm.matchIndex, MATCH(TRUE, INDEX(ISNUMBER(SEARCH(E:E, _xlpm.searchText)), 0), 0),
    IF(ISNA(_xlpm.matchIndex), "",
       INDEX(F:F, _xlpm.matchIndex)
    )
)</f>
        <v>FliF</v>
      </c>
      <c r="G425" t="str">
        <f t="shared" si="6"/>
        <v>Buttiauxella</v>
      </c>
    </row>
    <row r="426" spans="1:7" x14ac:dyDescent="0.2">
      <c r="A426" t="s">
        <v>437</v>
      </c>
      <c r="B426" t="s">
        <v>603</v>
      </c>
      <c r="C426" t="s">
        <v>914</v>
      </c>
      <c r="D426" t="str" cm="1">
        <f t="array" ref="D426">_xlfn.LET(
    _xlpm.searchText, B426,
    _xlpm.matchIndex, MATCH(TRUE, INDEX(ISNUMBER(SEARCH(E:E, _xlpm.searchText)), 0), 0),
    IF(ISNA(_xlpm.matchIndex), "",
       INDEX(F:F, _xlpm.matchIndex)
    )
)</f>
        <v>FliF</v>
      </c>
      <c r="G426" t="str">
        <f t="shared" si="6"/>
        <v>Geovibrio</v>
      </c>
    </row>
    <row r="427" spans="1:7" x14ac:dyDescent="0.2">
      <c r="A427" t="s">
        <v>438</v>
      </c>
      <c r="B427" t="s">
        <v>603</v>
      </c>
      <c r="C427" t="s">
        <v>708</v>
      </c>
      <c r="D427" t="str" cm="1">
        <f t="array" ref="D427">_xlfn.LET(
    _xlpm.searchText, B427,
    _xlpm.matchIndex, MATCH(TRUE, INDEX(ISNUMBER(SEARCH(E:E, _xlpm.searchText)), 0), 0),
    IF(ISNA(_xlpm.matchIndex), "",
       INDEX(F:F, _xlpm.matchIndex)
    )
)</f>
        <v>FliF</v>
      </c>
      <c r="G427" t="str">
        <f t="shared" si="6"/>
        <v>Tissierella</v>
      </c>
    </row>
    <row r="428" spans="1:7" x14ac:dyDescent="0.2">
      <c r="A428" t="s">
        <v>439</v>
      </c>
      <c r="B428" t="s">
        <v>603</v>
      </c>
      <c r="C428" t="s">
        <v>915</v>
      </c>
      <c r="D428" t="str" cm="1">
        <f t="array" ref="D428">_xlfn.LET(
    _xlpm.searchText, B428,
    _xlpm.matchIndex, MATCH(TRUE, INDEX(ISNUMBER(SEARCH(E:E, _xlpm.searchText)), 0), 0),
    IF(ISNA(_xlpm.matchIndex), "",
       INDEX(F:F, _xlpm.matchIndex)
    )
)</f>
        <v>FliF</v>
      </c>
      <c r="G428" t="str">
        <f t="shared" si="6"/>
        <v>Rahnella</v>
      </c>
    </row>
    <row r="429" spans="1:7" x14ac:dyDescent="0.2">
      <c r="A429" t="s">
        <v>440</v>
      </c>
      <c r="B429" t="s">
        <v>658</v>
      </c>
      <c r="C429" t="s">
        <v>915</v>
      </c>
      <c r="D429" t="str" cm="1">
        <f t="array" ref="D429">_xlfn.LET(
    _xlpm.searchText, B429,
    _xlpm.matchIndex, MATCH(TRUE, INDEX(ISNUMBER(SEARCH(E:E, _xlpm.searchText)), 0), 0),
    IF(ISNA(_xlpm.matchIndex), "",
       INDEX(F:F, _xlpm.matchIndex)
    )
)</f>
        <v>FliF</v>
      </c>
      <c r="G429" t="str">
        <f t="shared" si="6"/>
        <v>Rahnella</v>
      </c>
    </row>
    <row r="430" spans="1:7" x14ac:dyDescent="0.2">
      <c r="A430" t="s">
        <v>441</v>
      </c>
      <c r="B430" t="s">
        <v>603</v>
      </c>
      <c r="C430" t="s">
        <v>916</v>
      </c>
      <c r="D430" t="str" cm="1">
        <f t="array" ref="D430">_xlfn.LET(
    _xlpm.searchText, B430,
    _xlpm.matchIndex, MATCH(TRUE, INDEX(ISNUMBER(SEARCH(E:E, _xlpm.searchText)), 0), 0),
    IF(ISNA(_xlpm.matchIndex), "",
       INDEX(F:F, _xlpm.matchIndex)
    )
)</f>
        <v>FliF</v>
      </c>
      <c r="G430" t="str">
        <f t="shared" si="6"/>
        <v>Biostraticola</v>
      </c>
    </row>
    <row r="431" spans="1:7" x14ac:dyDescent="0.2">
      <c r="A431" t="s">
        <v>442</v>
      </c>
      <c r="B431" t="s">
        <v>661</v>
      </c>
      <c r="C431" t="s">
        <v>916</v>
      </c>
      <c r="D431" t="str" cm="1">
        <f t="array" ref="D431">_xlfn.LET(
    _xlpm.searchText, B431,
    _xlpm.matchIndex, MATCH(TRUE, INDEX(ISNUMBER(SEARCH(E:E, _xlpm.searchText)), 0), 0),
    IF(ISNA(_xlpm.matchIndex), "",
       INDEX(F:F, _xlpm.matchIndex)
    )
)</f>
        <v>T3SS</v>
      </c>
      <c r="G431" t="str">
        <f t="shared" si="6"/>
        <v>Biostraticola</v>
      </c>
    </row>
    <row r="432" spans="1:7" x14ac:dyDescent="0.2">
      <c r="A432" t="s">
        <v>443</v>
      </c>
      <c r="B432" t="s">
        <v>658</v>
      </c>
      <c r="C432" t="s">
        <v>917</v>
      </c>
      <c r="D432" t="str" cm="1">
        <f t="array" ref="D432">_xlfn.LET(
    _xlpm.searchText, B432,
    _xlpm.matchIndex, MATCH(TRUE, INDEX(ISNUMBER(SEARCH(E:E, _xlpm.searchText)), 0), 0),
    IF(ISNA(_xlpm.matchIndex), "",
       INDEX(F:F, _xlpm.matchIndex)
    )
)</f>
        <v>FliF</v>
      </c>
      <c r="G432" t="str">
        <f t="shared" si="6"/>
        <v>Pantoea</v>
      </c>
    </row>
    <row r="433" spans="1:7" x14ac:dyDescent="0.2">
      <c r="A433" t="s">
        <v>444</v>
      </c>
      <c r="B433" t="s">
        <v>658</v>
      </c>
      <c r="C433" t="s">
        <v>917</v>
      </c>
      <c r="D433" t="str" cm="1">
        <f t="array" ref="D433">_xlfn.LET(
    _xlpm.searchText, B433,
    _xlpm.matchIndex, MATCH(TRUE, INDEX(ISNUMBER(SEARCH(E:E, _xlpm.searchText)), 0), 0),
    IF(ISNA(_xlpm.matchIndex), "",
       INDEX(F:F, _xlpm.matchIndex)
    )
)</f>
        <v>FliF</v>
      </c>
      <c r="G433" t="str">
        <f t="shared" si="6"/>
        <v>Pantoea</v>
      </c>
    </row>
    <row r="434" spans="1:7" x14ac:dyDescent="0.2">
      <c r="A434" t="s">
        <v>445</v>
      </c>
      <c r="B434" t="s">
        <v>605</v>
      </c>
      <c r="C434" t="s">
        <v>918</v>
      </c>
      <c r="D434" t="str" cm="1">
        <f t="array" ref="D434">_xlfn.LET(
    _xlpm.searchText, B434,
    _xlpm.matchIndex, MATCH(TRUE, INDEX(ISNUMBER(SEARCH(E:E, _xlpm.searchText)), 0), 0),
    IF(ISNA(_xlpm.matchIndex), "",
       INDEX(F:F, _xlpm.matchIndex)
    )
)</f>
        <v>FliF</v>
      </c>
      <c r="G434" t="str">
        <f t="shared" si="6"/>
        <v>Hydrogenovibrio</v>
      </c>
    </row>
    <row r="435" spans="1:7" x14ac:dyDescent="0.2">
      <c r="A435" t="s">
        <v>446</v>
      </c>
      <c r="B435" t="s">
        <v>656</v>
      </c>
      <c r="C435" t="s">
        <v>919</v>
      </c>
      <c r="D435" t="str" cm="1">
        <f t="array" ref="D435">_xlfn.LET(
    _xlpm.searchText, B435,
    _xlpm.matchIndex, MATCH(TRUE, INDEX(ISNUMBER(SEARCH(E:E, _xlpm.searchText)), 0), 0),
    IF(ISNA(_xlpm.matchIndex), "",
       INDEX(F:F, _xlpm.matchIndex)
    )
)</f>
        <v>T3SS_YscJ_HrcJ</v>
      </c>
      <c r="G435" t="str">
        <f t="shared" si="6"/>
        <v>Aeromonas</v>
      </c>
    </row>
    <row r="436" spans="1:7" x14ac:dyDescent="0.2">
      <c r="A436" t="s">
        <v>447</v>
      </c>
      <c r="B436" t="s">
        <v>603</v>
      </c>
      <c r="C436" t="s">
        <v>919</v>
      </c>
      <c r="D436" t="str" cm="1">
        <f t="array" ref="D436">_xlfn.LET(
    _xlpm.searchText, B436,
    _xlpm.matchIndex, MATCH(TRUE, INDEX(ISNUMBER(SEARCH(E:E, _xlpm.searchText)), 0), 0),
    IF(ISNA(_xlpm.matchIndex), "",
       INDEX(F:F, _xlpm.matchIndex)
    )
)</f>
        <v>FliF</v>
      </c>
      <c r="G436" t="str">
        <f t="shared" si="6"/>
        <v>Aeromonas</v>
      </c>
    </row>
    <row r="437" spans="1:7" x14ac:dyDescent="0.2">
      <c r="A437" t="s">
        <v>448</v>
      </c>
      <c r="B437" t="s">
        <v>658</v>
      </c>
      <c r="C437" t="s">
        <v>920</v>
      </c>
      <c r="D437" t="str" cm="1">
        <f t="array" ref="D437">_xlfn.LET(
    _xlpm.searchText, B437,
    _xlpm.matchIndex, MATCH(TRUE, INDEX(ISNUMBER(SEARCH(E:E, _xlpm.searchText)), 0), 0),
    IF(ISNA(_xlpm.matchIndex), "",
       INDEX(F:F, _xlpm.matchIndex)
    )
)</f>
        <v>FliF</v>
      </c>
      <c r="G437" t="str">
        <f t="shared" si="6"/>
        <v>Cellvibrio</v>
      </c>
    </row>
    <row r="438" spans="1:7" x14ac:dyDescent="0.2">
      <c r="A438" t="s">
        <v>449</v>
      </c>
      <c r="B438" t="s">
        <v>603</v>
      </c>
      <c r="C438" t="s">
        <v>921</v>
      </c>
      <c r="D438" t="str" cm="1">
        <f t="array" ref="D438">_xlfn.LET(
    _xlpm.searchText, B438,
    _xlpm.matchIndex, MATCH(TRUE, INDEX(ISNUMBER(SEARCH(E:E, _xlpm.searchText)), 0), 0),
    IF(ISNA(_xlpm.matchIndex), "",
       INDEX(F:F, _xlpm.matchIndex)
    )
)</f>
        <v>FliF</v>
      </c>
      <c r="G438" t="str">
        <f t="shared" si="6"/>
        <v>Tepidiforma</v>
      </c>
    </row>
    <row r="439" spans="1:7" x14ac:dyDescent="0.2">
      <c r="A439" t="s">
        <v>450</v>
      </c>
      <c r="B439" t="s">
        <v>603</v>
      </c>
      <c r="C439" t="s">
        <v>922</v>
      </c>
      <c r="D439" t="str" cm="1">
        <f t="array" ref="D439">_xlfn.LET(
    _xlpm.searchText, B439,
    _xlpm.matchIndex, MATCH(TRUE, INDEX(ISNUMBER(SEARCH(E:E, _xlpm.searchText)), 0), 0),
    IF(ISNA(_xlpm.matchIndex), "",
       INDEX(F:F, _xlpm.matchIndex)
    )
)</f>
        <v>FliF</v>
      </c>
      <c r="G439" t="str">
        <f t="shared" si="6"/>
        <v>Gemmatimonas</v>
      </c>
    </row>
    <row r="440" spans="1:7" x14ac:dyDescent="0.2">
      <c r="A440" t="s">
        <v>451</v>
      </c>
      <c r="B440" t="s">
        <v>660</v>
      </c>
      <c r="C440" t="s">
        <v>923</v>
      </c>
      <c r="D440" t="str" cm="1">
        <f t="array" ref="D440">_xlfn.LET(
    _xlpm.searchText, B440,
    _xlpm.matchIndex, MATCH(TRUE, INDEX(ISNUMBER(SEARCH(E:E, _xlpm.searchText)), 0), 0),
    IF(ISNA(_xlpm.matchIndex), "",
       INDEX(F:F, _xlpm.matchIndex)
    )
)</f>
        <v>FliF</v>
      </c>
      <c r="G440" t="str">
        <f t="shared" si="6"/>
        <v>Candidatus</v>
      </c>
    </row>
    <row r="441" spans="1:7" x14ac:dyDescent="0.2">
      <c r="A441" t="s">
        <v>452</v>
      </c>
      <c r="B441" t="s">
        <v>656</v>
      </c>
      <c r="C441" t="s">
        <v>924</v>
      </c>
      <c r="D441" t="str" cm="1">
        <f t="array" ref="D441">_xlfn.LET(
    _xlpm.searchText, B441,
    _xlpm.matchIndex, MATCH(TRUE, INDEX(ISNUMBER(SEARCH(E:E, _xlpm.searchText)), 0), 0),
    IF(ISNA(_xlpm.matchIndex), "",
       INDEX(F:F, _xlpm.matchIndex)
    )
)</f>
        <v>T3SS_YscJ_HrcJ</v>
      </c>
      <c r="G441" t="str">
        <f t="shared" si="6"/>
        <v>Shigella</v>
      </c>
    </row>
    <row r="442" spans="1:7" x14ac:dyDescent="0.2">
      <c r="A442" t="s">
        <v>453</v>
      </c>
      <c r="B442" t="s">
        <v>603</v>
      </c>
      <c r="C442" t="s">
        <v>924</v>
      </c>
      <c r="D442" t="str" cm="1">
        <f t="array" ref="D442">_xlfn.LET(
    _xlpm.searchText, B442,
    _xlpm.matchIndex, MATCH(TRUE, INDEX(ISNUMBER(SEARCH(E:E, _xlpm.searchText)), 0), 0),
    IF(ISNA(_xlpm.matchIndex), "",
       INDEX(F:F, _xlpm.matchIndex)
    )
)</f>
        <v>FliF</v>
      </c>
      <c r="G442" t="str">
        <f t="shared" si="6"/>
        <v>Shigella</v>
      </c>
    </row>
    <row r="443" spans="1:7" x14ac:dyDescent="0.2">
      <c r="A443" t="s">
        <v>454</v>
      </c>
      <c r="B443" t="s">
        <v>603</v>
      </c>
      <c r="C443" t="s">
        <v>709</v>
      </c>
      <c r="D443" t="str" cm="1">
        <f t="array" ref="D443">_xlfn.LET(
    _xlpm.searchText, B443,
    _xlpm.matchIndex, MATCH(TRUE, INDEX(ISNUMBER(SEARCH(E:E, _xlpm.searchText)), 0), 0),
    IF(ISNA(_xlpm.matchIndex), "",
       INDEX(F:F, _xlpm.matchIndex)
    )
)</f>
        <v>FliF</v>
      </c>
      <c r="G443" t="str">
        <f t="shared" si="6"/>
        <v>Alkalicella</v>
      </c>
    </row>
    <row r="444" spans="1:7" x14ac:dyDescent="0.2">
      <c r="A444" t="s">
        <v>455</v>
      </c>
      <c r="B444" t="s">
        <v>603</v>
      </c>
      <c r="C444" t="s">
        <v>925</v>
      </c>
      <c r="D444" t="str" cm="1">
        <f t="array" ref="D444">_xlfn.LET(
    _xlpm.searchText, B444,
    _xlpm.matchIndex, MATCH(TRUE, INDEX(ISNUMBER(SEARCH(E:E, _xlpm.searchText)), 0), 0),
    IF(ISNA(_xlpm.matchIndex), "",
       INDEX(F:F, _xlpm.matchIndex)
    )
)</f>
        <v>FliF</v>
      </c>
      <c r="G444" t="str">
        <f t="shared" si="6"/>
        <v>Sphingomonas</v>
      </c>
    </row>
    <row r="445" spans="1:7" x14ac:dyDescent="0.2">
      <c r="A445" t="s">
        <v>456</v>
      </c>
      <c r="B445" t="s">
        <v>595</v>
      </c>
      <c r="C445" t="s">
        <v>926</v>
      </c>
      <c r="D445" t="str" cm="1">
        <f t="array" ref="D445">_xlfn.LET(
    _xlpm.searchText, B445,
    _xlpm.matchIndex, MATCH(TRUE, INDEX(ISNUMBER(SEARCH(E:E, _xlpm.searchText)), 0), 0),
    IF(ISNA(_xlpm.matchIndex), "",
       INDEX(F:F, _xlpm.matchIndex)
    )
)</f>
        <v>FliF</v>
      </c>
      <c r="G445" t="str">
        <f t="shared" si="6"/>
        <v>Pseudocitrobacter</v>
      </c>
    </row>
    <row r="446" spans="1:7" x14ac:dyDescent="0.2">
      <c r="A446" t="s">
        <v>457</v>
      </c>
      <c r="B446" t="s">
        <v>595</v>
      </c>
      <c r="C446" t="s">
        <v>926</v>
      </c>
      <c r="D446" t="str" cm="1">
        <f t="array" ref="D446">_xlfn.LET(
    _xlpm.searchText, B446,
    _xlpm.matchIndex, MATCH(TRUE, INDEX(ISNUMBER(SEARCH(E:E, _xlpm.searchText)), 0), 0),
    IF(ISNA(_xlpm.matchIndex), "",
       INDEX(F:F, _xlpm.matchIndex)
    )
)</f>
        <v>FliF</v>
      </c>
      <c r="G446" t="str">
        <f t="shared" si="6"/>
        <v>Pseudocitrobacter</v>
      </c>
    </row>
    <row r="447" spans="1:7" x14ac:dyDescent="0.2">
      <c r="A447" t="s">
        <v>458</v>
      </c>
      <c r="B447" t="s">
        <v>595</v>
      </c>
      <c r="C447" t="s">
        <v>927</v>
      </c>
      <c r="D447" t="str" cm="1">
        <f t="array" ref="D447">_xlfn.LET(
    _xlpm.searchText, B447,
    _xlpm.matchIndex, MATCH(TRUE, INDEX(ISNUMBER(SEARCH(E:E, _xlpm.searchText)), 0), 0),
    IF(ISNA(_xlpm.matchIndex), "",
       INDEX(F:F, _xlpm.matchIndex)
    )
)</f>
        <v>FliF</v>
      </c>
      <c r="G447" t="str">
        <f t="shared" si="6"/>
        <v>Dissulfurispira</v>
      </c>
    </row>
    <row r="448" spans="1:7" x14ac:dyDescent="0.2">
      <c r="A448" t="s">
        <v>459</v>
      </c>
      <c r="B448" t="s">
        <v>603</v>
      </c>
      <c r="C448" t="s">
        <v>928</v>
      </c>
      <c r="D448" t="str" cm="1">
        <f t="array" ref="D448">_xlfn.LET(
    _xlpm.searchText, B448,
    _xlpm.matchIndex, MATCH(TRUE, INDEX(ISNUMBER(SEARCH(E:E, _xlpm.searchText)), 0), 0),
    IF(ISNA(_xlpm.matchIndex), "",
       INDEX(F:F, _xlpm.matchIndex)
    )
)</f>
        <v>FliF</v>
      </c>
      <c r="G448" t="str">
        <f t="shared" si="6"/>
        <v>Paludibaculum</v>
      </c>
    </row>
    <row r="449" spans="1:7" x14ac:dyDescent="0.2">
      <c r="A449" t="s">
        <v>460</v>
      </c>
      <c r="B449" t="s">
        <v>603</v>
      </c>
      <c r="C449" t="s">
        <v>928</v>
      </c>
      <c r="D449" t="str" cm="1">
        <f t="array" ref="D449">_xlfn.LET(
    _xlpm.searchText, B449,
    _xlpm.matchIndex, MATCH(TRUE, INDEX(ISNUMBER(SEARCH(E:E, _xlpm.searchText)), 0), 0),
    IF(ISNA(_xlpm.matchIndex), "",
       INDEX(F:F, _xlpm.matchIndex)
    )
)</f>
        <v>FliF</v>
      </c>
      <c r="G449" t="str">
        <f t="shared" si="6"/>
        <v>Paludibaculum</v>
      </c>
    </row>
    <row r="450" spans="1:7" x14ac:dyDescent="0.2">
      <c r="A450" t="s">
        <v>461</v>
      </c>
      <c r="B450" t="s">
        <v>603</v>
      </c>
      <c r="C450" t="s">
        <v>929</v>
      </c>
      <c r="D450" t="str" cm="1">
        <f t="array" ref="D450">_xlfn.LET(
    _xlpm.searchText, B450,
    _xlpm.matchIndex, MATCH(TRUE, INDEX(ISNUMBER(SEARCH(E:E, _xlpm.searchText)), 0), 0),
    IF(ISNA(_xlpm.matchIndex), "",
       INDEX(F:F, _xlpm.matchIndex)
    )
)</f>
        <v>FliF</v>
      </c>
      <c r="G450" t="str">
        <f t="shared" si="6"/>
        <v>Fibrobacteres</v>
      </c>
    </row>
    <row r="451" spans="1:7" x14ac:dyDescent="0.2">
      <c r="A451" t="s">
        <v>462</v>
      </c>
      <c r="B451" t="s">
        <v>662</v>
      </c>
      <c r="C451" t="s">
        <v>930</v>
      </c>
      <c r="D451" t="str" cm="1">
        <f t="array" ref="D451">_xlfn.LET(
    _xlpm.searchText, B451,
    _xlpm.matchIndex, MATCH(TRUE, INDEX(ISNUMBER(SEARCH(E:E, _xlpm.searchText)), 0), 0),
    IF(ISNA(_xlpm.matchIndex), "",
       INDEX(F:F, _xlpm.matchIndex)
    )
)</f>
        <v>T3SS_SctJ</v>
      </c>
      <c r="G451" t="str">
        <f t="shared" si="6"/>
        <v>Sulfidibacter</v>
      </c>
    </row>
    <row r="452" spans="1:7" x14ac:dyDescent="0.2">
      <c r="A452" t="s">
        <v>463</v>
      </c>
      <c r="B452" t="s">
        <v>663</v>
      </c>
      <c r="C452" t="s">
        <v>931</v>
      </c>
      <c r="D452" t="str" cm="1">
        <f t="array" ref="D452">_xlfn.LET(
    _xlpm.searchText, B452,
    _xlpm.matchIndex, MATCH(TRUE, INDEX(ISNUMBER(SEARCH(E:E, _xlpm.searchText)), 0), 0),
    IF(ISNA(_xlpm.matchIndex), "",
       INDEX(F:F, _xlpm.matchIndex)
    )
)</f>
        <v>hypothetical</v>
      </c>
      <c r="G452" t="str">
        <f t="shared" ref="G452:G515" si="7">IFERROR(_xlfn.TEXTBEFORE(C452, " "), C452)</f>
        <v>Chloracidobacterium</v>
      </c>
    </row>
    <row r="453" spans="1:7" x14ac:dyDescent="0.2">
      <c r="A453" t="s">
        <v>464</v>
      </c>
      <c r="B453" t="s">
        <v>603</v>
      </c>
      <c r="C453" t="s">
        <v>932</v>
      </c>
      <c r="D453" t="str" cm="1">
        <f t="array" ref="D453">_xlfn.LET(
    _xlpm.searchText, B453,
    _xlpm.matchIndex, MATCH(TRUE, INDEX(ISNUMBER(SEARCH(E:E, _xlpm.searchText)), 0), 0),
    IF(ISNA(_xlpm.matchIndex), "",
       INDEX(F:F, _xlpm.matchIndex)
    )
)</f>
        <v>FliF</v>
      </c>
      <c r="G453" t="str">
        <f t="shared" si="7"/>
        <v>Saccharophagus</v>
      </c>
    </row>
    <row r="454" spans="1:7" x14ac:dyDescent="0.2">
      <c r="A454" t="s">
        <v>465</v>
      </c>
      <c r="B454" t="s">
        <v>603</v>
      </c>
      <c r="C454" t="s">
        <v>933</v>
      </c>
      <c r="D454" t="str" cm="1">
        <f t="array" ref="D454">_xlfn.LET(
    _xlpm.searchText, B454,
    _xlpm.matchIndex, MATCH(TRUE, INDEX(ISNUMBER(SEARCH(E:E, _xlpm.searchText)), 0), 0),
    IF(ISNA(_xlpm.matchIndex), "",
       INDEX(F:F, _xlpm.matchIndex)
    )
)</f>
        <v>FliF</v>
      </c>
      <c r="G454" t="str">
        <f t="shared" si="7"/>
        <v>Klebsiella</v>
      </c>
    </row>
    <row r="455" spans="1:7" x14ac:dyDescent="0.2">
      <c r="A455" t="s">
        <v>466</v>
      </c>
      <c r="B455" t="s">
        <v>603</v>
      </c>
      <c r="C455" t="s">
        <v>934</v>
      </c>
      <c r="D455" t="str" cm="1">
        <f t="array" ref="D455">_xlfn.LET(
    _xlpm.searchText, B455,
    _xlpm.matchIndex, MATCH(TRUE, INDEX(ISNUMBER(SEARCH(E:E, _xlpm.searchText)), 0), 0),
    IF(ISNA(_xlpm.matchIndex), "",
       INDEX(F:F, _xlpm.matchIndex)
    )
)</f>
        <v>FliF</v>
      </c>
      <c r="G455" t="str">
        <f t="shared" si="7"/>
        <v>Tepidimonas</v>
      </c>
    </row>
    <row r="456" spans="1:7" x14ac:dyDescent="0.2">
      <c r="A456" t="s">
        <v>467</v>
      </c>
      <c r="B456" t="s">
        <v>605</v>
      </c>
      <c r="C456" t="s">
        <v>710</v>
      </c>
      <c r="D456" t="str" cm="1">
        <f t="array" ref="D456">_xlfn.LET(
    _xlpm.searchText, B456,
    _xlpm.matchIndex, MATCH(TRUE, INDEX(ISNUMBER(SEARCH(E:E, _xlpm.searchText)), 0), 0),
    IF(ISNA(_xlpm.matchIndex), "",
       INDEX(F:F, _xlpm.matchIndex)
    )
)</f>
        <v>FliF</v>
      </c>
      <c r="G456" t="str">
        <f t="shared" si="7"/>
        <v>Natranaerofaba</v>
      </c>
    </row>
    <row r="457" spans="1:7" x14ac:dyDescent="0.2">
      <c r="A457" t="s">
        <v>468</v>
      </c>
      <c r="B457" t="s">
        <v>603</v>
      </c>
      <c r="C457" t="s">
        <v>711</v>
      </c>
      <c r="D457" t="str" cm="1">
        <f t="array" ref="D457">_xlfn.LET(
    _xlpm.searchText, B457,
    _xlpm.matchIndex, MATCH(TRUE, INDEX(ISNUMBER(SEARCH(E:E, _xlpm.searchText)), 0), 0),
    IF(ISNA(_xlpm.matchIndex), "",
       INDEX(F:F, _xlpm.matchIndex)
    )
)</f>
        <v>FliF</v>
      </c>
      <c r="G457" t="str">
        <f t="shared" si="7"/>
        <v>Candidatus</v>
      </c>
    </row>
    <row r="458" spans="1:7" x14ac:dyDescent="0.2">
      <c r="A458" t="s">
        <v>469</v>
      </c>
      <c r="B458" t="s">
        <v>583</v>
      </c>
      <c r="C458" t="s">
        <v>935</v>
      </c>
      <c r="D458" t="str" cm="1">
        <f t="array" ref="D458">_xlfn.LET(
    _xlpm.searchText, B458,
    _xlpm.matchIndex, MATCH(TRUE, INDEX(ISNUMBER(SEARCH(E:E, _xlpm.searchText)), 0), 0),
    IF(ISNA(_xlpm.matchIndex), "",
       INDEX(F:F, _xlpm.matchIndex)
    )
)</f>
        <v>FliF</v>
      </c>
      <c r="G458" t="str">
        <f t="shared" si="7"/>
        <v>Shewanella</v>
      </c>
    </row>
    <row r="459" spans="1:7" x14ac:dyDescent="0.2">
      <c r="A459" t="s">
        <v>470</v>
      </c>
      <c r="B459" t="s">
        <v>603</v>
      </c>
      <c r="C459" t="s">
        <v>936</v>
      </c>
      <c r="D459" t="str" cm="1">
        <f t="array" ref="D459">_xlfn.LET(
    _xlpm.searchText, B459,
    _xlpm.matchIndex, MATCH(TRUE, INDEX(ISNUMBER(SEARCH(E:E, _xlpm.searchText)), 0), 0),
    IF(ISNA(_xlpm.matchIndex), "",
       INDEX(F:F, _xlpm.matchIndex)
    )
)</f>
        <v>FliF</v>
      </c>
      <c r="G459" t="str">
        <f t="shared" si="7"/>
        <v>Desulfatibacillum</v>
      </c>
    </row>
    <row r="460" spans="1:7" x14ac:dyDescent="0.2">
      <c r="A460" t="s">
        <v>471</v>
      </c>
      <c r="B460" t="s">
        <v>603</v>
      </c>
      <c r="C460" t="s">
        <v>713</v>
      </c>
      <c r="D460" t="str" cm="1">
        <f t="array" ref="D460">_xlfn.LET(
    _xlpm.searchText, B460,
    _xlpm.matchIndex, MATCH(TRUE, INDEX(ISNUMBER(SEARCH(E:E, _xlpm.searchText)), 0), 0),
    IF(ISNA(_xlpm.matchIndex), "",
       INDEX(F:F, _xlpm.matchIndex)
    )
)</f>
        <v>FliF</v>
      </c>
      <c r="G460" t="str">
        <f t="shared" si="7"/>
        <v>Anaerobranca</v>
      </c>
    </row>
    <row r="461" spans="1:7" x14ac:dyDescent="0.2">
      <c r="A461" t="s">
        <v>472</v>
      </c>
      <c r="B461" t="s">
        <v>583</v>
      </c>
      <c r="C461" t="s">
        <v>937</v>
      </c>
      <c r="D461" t="str" cm="1">
        <f t="array" ref="D461">_xlfn.LET(
    _xlpm.searchText, B461,
    _xlpm.matchIndex, MATCH(TRUE, INDEX(ISNUMBER(SEARCH(E:E, _xlpm.searchText)), 0), 0),
    IF(ISNA(_xlpm.matchIndex), "",
       INDEX(F:F, _xlpm.matchIndex)
    )
)</f>
        <v>FliF</v>
      </c>
      <c r="G461" t="str">
        <f t="shared" si="7"/>
        <v>Cereibacter</v>
      </c>
    </row>
    <row r="462" spans="1:7" x14ac:dyDescent="0.2">
      <c r="A462" t="s">
        <v>473</v>
      </c>
      <c r="B462" t="s">
        <v>603</v>
      </c>
      <c r="C462" t="s">
        <v>714</v>
      </c>
      <c r="D462" t="str" cm="1">
        <f t="array" ref="D462">_xlfn.LET(
    _xlpm.searchText, B462,
    _xlpm.matchIndex, MATCH(TRUE, INDEX(ISNUMBER(SEARCH(E:E, _xlpm.searchText)), 0), 0),
    IF(ISNA(_xlpm.matchIndex), "",
       INDEX(F:F, _xlpm.matchIndex)
    )
)</f>
        <v>FliF</v>
      </c>
      <c r="G462" t="str">
        <f t="shared" si="7"/>
        <v>Epulopiscium</v>
      </c>
    </row>
    <row r="463" spans="1:7" x14ac:dyDescent="0.2">
      <c r="A463" t="s">
        <v>474</v>
      </c>
      <c r="B463" t="s">
        <v>664</v>
      </c>
      <c r="C463" t="s">
        <v>714</v>
      </c>
      <c r="D463" t="str" cm="1">
        <f t="array" ref="D463">_xlfn.LET(
    _xlpm.searchText, B463,
    _xlpm.matchIndex, MATCH(TRUE, INDEX(ISNUMBER(SEARCH(E:E, _xlpm.searchText)), 0), 0),
    IF(ISNA(_xlpm.matchIndex), "",
       INDEX(F:F, _xlpm.matchIndex)
    )
)</f>
        <v>FliF</v>
      </c>
      <c r="G463" t="str">
        <f t="shared" si="7"/>
        <v>Epulopiscium</v>
      </c>
    </row>
    <row r="464" spans="1:7" x14ac:dyDescent="0.2">
      <c r="A464" t="s">
        <v>475</v>
      </c>
      <c r="B464" t="s">
        <v>662</v>
      </c>
      <c r="C464" t="s">
        <v>938</v>
      </c>
      <c r="D464" t="str" cm="1">
        <f t="array" ref="D464">_xlfn.LET(
    _xlpm.searchText, B464,
    _xlpm.matchIndex, MATCH(TRUE, INDEX(ISNUMBER(SEARCH(E:E, _xlpm.searchText)), 0), 0),
    IF(ISNA(_xlpm.matchIndex), "",
       INDEX(F:F, _xlpm.matchIndex)
    )
)</f>
        <v>T3SS_SctJ</v>
      </c>
      <c r="G464" t="str">
        <f t="shared" si="7"/>
        <v>Edwardsiella</v>
      </c>
    </row>
    <row r="465" spans="1:7" x14ac:dyDescent="0.2">
      <c r="A465" t="s">
        <v>476</v>
      </c>
      <c r="B465" t="s">
        <v>583</v>
      </c>
      <c r="C465" t="s">
        <v>938</v>
      </c>
      <c r="D465" t="str" cm="1">
        <f t="array" ref="D465">_xlfn.LET(
    _xlpm.searchText, B465,
    _xlpm.matchIndex, MATCH(TRUE, INDEX(ISNUMBER(SEARCH(E:E, _xlpm.searchText)), 0), 0),
    IF(ISNA(_xlpm.matchIndex), "",
       INDEX(F:F, _xlpm.matchIndex)
    )
)</f>
        <v>FliF</v>
      </c>
      <c r="G465" t="str">
        <f t="shared" si="7"/>
        <v>Edwardsiella</v>
      </c>
    </row>
    <row r="466" spans="1:7" x14ac:dyDescent="0.2">
      <c r="A466" t="s">
        <v>477</v>
      </c>
      <c r="B466" t="s">
        <v>583</v>
      </c>
      <c r="C466" t="s">
        <v>939</v>
      </c>
      <c r="D466" t="str" cm="1">
        <f t="array" ref="D466">_xlfn.LET(
    _xlpm.searchText, B466,
    _xlpm.matchIndex, MATCH(TRUE, INDEX(ISNUMBER(SEARCH(E:E, _xlpm.searchText)), 0), 0),
    IF(ISNA(_xlpm.matchIndex), "",
       INDEX(F:F, _xlpm.matchIndex)
    )
)</f>
        <v>FliF</v>
      </c>
      <c r="G466" t="str">
        <f t="shared" si="7"/>
        <v>Oleidesulfovibrio</v>
      </c>
    </row>
    <row r="467" spans="1:7" x14ac:dyDescent="0.2">
      <c r="A467" t="s">
        <v>478</v>
      </c>
      <c r="B467" t="s">
        <v>583</v>
      </c>
      <c r="C467" t="s">
        <v>715</v>
      </c>
      <c r="D467" t="str" cm="1">
        <f t="array" ref="D467">_xlfn.LET(
    _xlpm.searchText, B467,
    _xlpm.matchIndex, MATCH(TRUE, INDEX(ISNUMBER(SEARCH(E:E, _xlpm.searchText)), 0), 0),
    IF(ISNA(_xlpm.matchIndex), "",
       INDEX(F:F, _xlpm.matchIndex)
    )
)</f>
        <v>FliF</v>
      </c>
      <c r="G467" t="str">
        <f t="shared" si="7"/>
        <v>Alkalihalobacillus</v>
      </c>
    </row>
    <row r="468" spans="1:7" x14ac:dyDescent="0.2">
      <c r="A468" t="s">
        <v>479</v>
      </c>
      <c r="B468" t="s">
        <v>583</v>
      </c>
      <c r="C468" t="s">
        <v>940</v>
      </c>
      <c r="D468" t="str" cm="1">
        <f t="array" ref="D468">_xlfn.LET(
    _xlpm.searchText, B468,
    _xlpm.matchIndex, MATCH(TRUE, INDEX(ISNUMBER(SEARCH(E:E, _xlpm.searchText)), 0), 0),
    IF(ISNA(_xlpm.matchIndex), "",
       INDEX(F:F, _xlpm.matchIndex)
    )
)</f>
        <v>FliF</v>
      </c>
      <c r="G468" t="str">
        <f t="shared" si="7"/>
        <v>Plesiomonas</v>
      </c>
    </row>
    <row r="469" spans="1:7" x14ac:dyDescent="0.2">
      <c r="A469" t="s">
        <v>480</v>
      </c>
      <c r="B469" t="s">
        <v>583</v>
      </c>
      <c r="C469" t="s">
        <v>940</v>
      </c>
      <c r="D469" t="str" cm="1">
        <f t="array" ref="D469">_xlfn.LET(
    _xlpm.searchText, B469,
    _xlpm.matchIndex, MATCH(TRUE, INDEX(ISNUMBER(SEARCH(E:E, _xlpm.searchText)), 0), 0),
    IF(ISNA(_xlpm.matchIndex), "",
       INDEX(F:F, _xlpm.matchIndex)
    )
)</f>
        <v>FliF</v>
      </c>
      <c r="G469" t="str">
        <f t="shared" si="7"/>
        <v>Plesiomonas</v>
      </c>
    </row>
    <row r="470" spans="1:7" x14ac:dyDescent="0.2">
      <c r="A470" t="s">
        <v>531</v>
      </c>
      <c r="D470" t="str" cm="1">
        <f t="array" ref="D470">_xlfn.LET(
    _xlpm.searchText, B470,
    _xlpm.matchIndex, MATCH(TRUE, INDEX(ISNUMBER(SEARCH(E:E, _xlpm.searchText)), 0), 0),
    IF(ISNA(_xlpm.matchIndex), "",
       INDEX(F:F, _xlpm.matchIndex)
    )
)</f>
        <v/>
      </c>
      <c r="G470">
        <f t="shared" si="7"/>
        <v>0</v>
      </c>
    </row>
    <row r="471" spans="1:7" x14ac:dyDescent="0.2">
      <c r="A471" t="s">
        <v>481</v>
      </c>
      <c r="B471" t="s">
        <v>582</v>
      </c>
      <c r="C471" t="s">
        <v>718</v>
      </c>
      <c r="D471" t="str" cm="1">
        <f t="array" ref="D471">_xlfn.LET(
    _xlpm.searchText, B471,
    _xlpm.matchIndex, MATCH(TRUE, INDEX(ISNUMBER(SEARCH(E:E, _xlpm.searchText)), 0), 0),
    IF(ISNA(_xlpm.matchIndex), "",
       INDEX(F:F, _xlpm.matchIndex)
    )
)</f>
        <v>FliF</v>
      </c>
      <c r="G471" t="str">
        <f t="shared" si="7"/>
        <v>Solibacillus</v>
      </c>
    </row>
    <row r="472" spans="1:7" x14ac:dyDescent="0.2">
      <c r="A472" t="s">
        <v>482</v>
      </c>
      <c r="B472" t="s">
        <v>583</v>
      </c>
      <c r="C472" t="s">
        <v>941</v>
      </c>
      <c r="D472" t="str" cm="1">
        <f t="array" ref="D472">_xlfn.LET(
    _xlpm.searchText, B472,
    _xlpm.matchIndex, MATCH(TRUE, INDEX(ISNUMBER(SEARCH(E:E, _xlpm.searchText)), 0), 0),
    IF(ISNA(_xlpm.matchIndex), "",
       INDEX(F:F, _xlpm.matchIndex)
    )
)</f>
        <v>FliF</v>
      </c>
      <c r="G472" t="str">
        <f t="shared" si="7"/>
        <v>Rummeliibacillus</v>
      </c>
    </row>
    <row r="473" spans="1:7" x14ac:dyDescent="0.2">
      <c r="A473" t="s">
        <v>483</v>
      </c>
      <c r="B473" t="s">
        <v>665</v>
      </c>
      <c r="C473" t="s">
        <v>839</v>
      </c>
      <c r="D473" t="str" cm="1">
        <f t="array" ref="D473">_xlfn.LET(
    _xlpm.searchText, B473,
    _xlpm.matchIndex, MATCH(TRUE, INDEX(ISNUMBER(SEARCH(E:E, _xlpm.searchText)), 0), 0),
    IF(ISNA(_xlpm.matchIndex), "",
       INDEX(F:F, _xlpm.matchIndex)
    )
)</f>
        <v>T3SS</v>
      </c>
      <c r="G473" t="str">
        <f t="shared" si="7"/>
        <v>Vibrio</v>
      </c>
    </row>
    <row r="474" spans="1:7" x14ac:dyDescent="0.2">
      <c r="A474" t="s">
        <v>484</v>
      </c>
      <c r="B474" t="s">
        <v>648</v>
      </c>
      <c r="C474" t="s">
        <v>942</v>
      </c>
      <c r="D474" t="str" cm="1">
        <f t="array" ref="D474">_xlfn.LET(
    _xlpm.searchText, B474,
    _xlpm.matchIndex, MATCH(TRUE, INDEX(ISNUMBER(SEARCH(E:E, _xlpm.searchText)), 0), 0),
    IF(ISNA(_xlpm.matchIndex), "",
       INDEX(F:F, _xlpm.matchIndex)
    )
)</f>
        <v>T3SS</v>
      </c>
      <c r="G474" t="str">
        <f t="shared" si="7"/>
        <v>Vibrio</v>
      </c>
    </row>
    <row r="475" spans="1:7" x14ac:dyDescent="0.2">
      <c r="A475" t="s">
        <v>485</v>
      </c>
      <c r="B475" t="s">
        <v>583</v>
      </c>
      <c r="C475" t="s">
        <v>724</v>
      </c>
      <c r="D475" t="str" cm="1">
        <f t="array" ref="D475">_xlfn.LET(
    _xlpm.searchText, B475,
    _xlpm.matchIndex, MATCH(TRUE, INDEX(ISNUMBER(SEARCH(E:E, _xlpm.searchText)), 0), 0),
    IF(ISNA(_xlpm.matchIndex), "",
       INDEX(F:F, _xlpm.matchIndex)
    )
)</f>
        <v>FliF</v>
      </c>
      <c r="G475" t="str">
        <f t="shared" si="7"/>
        <v>Sporosarcina</v>
      </c>
    </row>
    <row r="476" spans="1:7" x14ac:dyDescent="0.2">
      <c r="A476" t="s">
        <v>486</v>
      </c>
      <c r="B476" t="s">
        <v>583</v>
      </c>
      <c r="C476" t="s">
        <v>726</v>
      </c>
      <c r="D476" t="str" cm="1">
        <f t="array" ref="D476">_xlfn.LET(
    _xlpm.searchText, B476,
    _xlpm.matchIndex, MATCH(TRUE, INDEX(ISNUMBER(SEARCH(E:E, _xlpm.searchText)), 0), 0),
    IF(ISNA(_xlpm.matchIndex), "",
       INDEX(F:F, _xlpm.matchIndex)
    )
)</f>
        <v>FliF</v>
      </c>
      <c r="G476" t="str">
        <f t="shared" si="7"/>
        <v>Rummeliibacillus</v>
      </c>
    </row>
    <row r="477" spans="1:7" x14ac:dyDescent="0.2">
      <c r="A477" t="s">
        <v>487</v>
      </c>
      <c r="B477" t="s">
        <v>603</v>
      </c>
      <c r="C477" t="s">
        <v>943</v>
      </c>
      <c r="D477" t="str" cm="1">
        <f t="array" ref="D477">_xlfn.LET(
    _xlpm.searchText, B477,
    _xlpm.matchIndex, MATCH(TRUE, INDEX(ISNUMBER(SEARCH(E:E, _xlpm.searchText)), 0), 0),
    IF(ISNA(_xlpm.matchIndex), "",
       INDEX(F:F, _xlpm.matchIndex)
    )
)</f>
        <v>FliF</v>
      </c>
      <c r="G477" t="str">
        <f t="shared" si="7"/>
        <v>Vibrio</v>
      </c>
    </row>
    <row r="478" spans="1:7" x14ac:dyDescent="0.2">
      <c r="A478" t="s">
        <v>488</v>
      </c>
      <c r="B478" t="s">
        <v>603</v>
      </c>
      <c r="C478" t="s">
        <v>944</v>
      </c>
      <c r="D478" t="str" cm="1">
        <f t="array" ref="D478">_xlfn.LET(
    _xlpm.searchText, B478,
    _xlpm.matchIndex, MATCH(TRUE, INDEX(ISNUMBER(SEARCH(E:E, _xlpm.searchText)), 0), 0),
    IF(ISNA(_xlpm.matchIndex), "",
       INDEX(F:F, _xlpm.matchIndex)
    )
)</f>
        <v>FliF</v>
      </c>
      <c r="G478" t="str">
        <f t="shared" si="7"/>
        <v>Treponema</v>
      </c>
    </row>
    <row r="479" spans="1:7" x14ac:dyDescent="0.2">
      <c r="A479" t="s">
        <v>489</v>
      </c>
      <c r="B479" t="s">
        <v>666</v>
      </c>
      <c r="C479" t="s">
        <v>945</v>
      </c>
      <c r="D479" t="str" cm="1">
        <f t="array" ref="D479">_xlfn.LET(
    _xlpm.searchText, B479,
    _xlpm.matchIndex, MATCH(TRUE, INDEX(ISNUMBER(SEARCH(E:E, _xlpm.searchText)), 0), 0),
    IF(ISNA(_xlpm.matchIndex), "",
       INDEX(F:F, _xlpm.matchIndex)
    )
)</f>
        <v>FliF</v>
      </c>
      <c r="G479" t="str">
        <f t="shared" si="7"/>
        <v>Treponema</v>
      </c>
    </row>
    <row r="480" spans="1:7" x14ac:dyDescent="0.2">
      <c r="A480" t="s">
        <v>490</v>
      </c>
      <c r="B480" t="s">
        <v>667</v>
      </c>
      <c r="C480" t="s">
        <v>763</v>
      </c>
      <c r="D480" t="str" cm="1">
        <f t="array" ref="D480">_xlfn.LET(
    _xlpm.searchText, B480,
    _xlpm.matchIndex, MATCH(TRUE, INDEX(ISNUMBER(SEARCH(E:E, _xlpm.searchText)), 0), 0),
    IF(ISNA(_xlpm.matchIndex), "",
       INDEX(F:F, _xlpm.matchIndex)
    )
)</f>
        <v>FliF</v>
      </c>
      <c r="G480" t="str">
        <f t="shared" si="7"/>
        <v>Chlamydia</v>
      </c>
    </row>
    <row r="481" spans="1:7" x14ac:dyDescent="0.2">
      <c r="A481" t="s">
        <v>492</v>
      </c>
      <c r="B481" t="s">
        <v>645</v>
      </c>
      <c r="C481" t="s">
        <v>770</v>
      </c>
      <c r="D481" t="str" cm="1">
        <f t="array" ref="D481">_xlfn.LET(
    _xlpm.searchText, B481,
    _xlpm.matchIndex, MATCH(TRUE, INDEX(ISNUMBER(SEARCH(E:E, _xlpm.searchText)), 0), 0),
    IF(ISNA(_xlpm.matchIndex), "",
       INDEX(F:F, _xlpm.matchIndex)
    )
)</f>
        <v>FliF</v>
      </c>
      <c r="G481" t="str">
        <f t="shared" si="7"/>
        <v>Cereibacter</v>
      </c>
    </row>
    <row r="482" spans="1:7" x14ac:dyDescent="0.2">
      <c r="A482" t="s">
        <v>493</v>
      </c>
      <c r="B482" t="s">
        <v>668</v>
      </c>
      <c r="C482" t="s">
        <v>946</v>
      </c>
      <c r="D482" t="str" cm="1">
        <f t="array" ref="D482">_xlfn.LET(
    _xlpm.searchText, B482,
    _xlpm.matchIndex, MATCH(TRUE, INDEX(ISNUMBER(SEARCH(E:E, _xlpm.searchText)), 0), 0),
    IF(ISNA(_xlpm.matchIndex), "",
       INDEX(F:F, _xlpm.matchIndex)
    )
)</f>
        <v>FliF</v>
      </c>
      <c r="G482" t="str">
        <f t="shared" si="7"/>
        <v>Aliivibrio</v>
      </c>
    </row>
    <row r="483" spans="1:7" x14ac:dyDescent="0.2">
      <c r="A483" t="s">
        <v>494</v>
      </c>
      <c r="B483" t="s">
        <v>603</v>
      </c>
      <c r="C483" t="s">
        <v>947</v>
      </c>
      <c r="D483" t="str" cm="1">
        <f t="array" ref="D483">_xlfn.LET(
    _xlpm.searchText, B483,
    _xlpm.matchIndex, MATCH(TRUE, INDEX(ISNUMBER(SEARCH(E:E, _xlpm.searchText)), 0), 0),
    IF(ISNA(_xlpm.matchIndex), "",
       INDEX(F:F, _xlpm.matchIndex)
    )
)</f>
        <v>FliF</v>
      </c>
      <c r="G483" t="str">
        <f t="shared" si="7"/>
        <v>Aeromonas</v>
      </c>
    </row>
    <row r="484" spans="1:7" x14ac:dyDescent="0.2">
      <c r="A484" t="s">
        <v>495</v>
      </c>
      <c r="B484" t="s">
        <v>603</v>
      </c>
      <c r="C484" t="s">
        <v>948</v>
      </c>
      <c r="D484" t="str" cm="1">
        <f t="array" ref="D484">_xlfn.LET(
    _xlpm.searchText, B484,
    _xlpm.matchIndex, MATCH(TRUE, INDEX(ISNUMBER(SEARCH(E:E, _xlpm.searchText)), 0), 0),
    IF(ISNA(_xlpm.matchIndex), "",
       INDEX(F:F, _xlpm.matchIndex)
    )
)</f>
        <v>FliF</v>
      </c>
      <c r="G484" t="str">
        <f t="shared" si="7"/>
        <v>Borreliella</v>
      </c>
    </row>
    <row r="485" spans="1:7" x14ac:dyDescent="0.2">
      <c r="A485" t="s">
        <v>496</v>
      </c>
      <c r="B485" t="s">
        <v>603</v>
      </c>
      <c r="C485" t="s">
        <v>949</v>
      </c>
      <c r="D485" t="str" cm="1">
        <f t="array" ref="D485">_xlfn.LET(
    _xlpm.searchText, B485,
    _xlpm.matchIndex, MATCH(TRUE, INDEX(ISNUMBER(SEARCH(E:E, _xlpm.searchText)), 0), 0),
    IF(ISNA(_xlpm.matchIndex), "",
       INDEX(F:F, _xlpm.matchIndex)
    )
)</f>
        <v>FliF</v>
      </c>
      <c r="G485" t="str">
        <f t="shared" si="7"/>
        <v>Rhodobacter</v>
      </c>
    </row>
    <row r="486" spans="1:7" x14ac:dyDescent="0.2">
      <c r="A486" t="s">
        <v>497</v>
      </c>
      <c r="B486" t="s">
        <v>669</v>
      </c>
      <c r="C486" t="s">
        <v>950</v>
      </c>
      <c r="D486" t="str" cm="1">
        <f t="array" ref="D486">_xlfn.LET(
    _xlpm.searchText, B486,
    _xlpm.matchIndex, MATCH(TRUE, INDEX(ISNUMBER(SEARCH(E:E, _xlpm.searchText)), 0), 0),
    IF(ISNA(_xlpm.matchIndex), "",
       INDEX(F:F, _xlpm.matchIndex)
    )
)</f>
        <v>T3SS</v>
      </c>
      <c r="G486" t="str">
        <f t="shared" si="7"/>
        <v>Pirellula</v>
      </c>
    </row>
    <row r="487" spans="1:7" x14ac:dyDescent="0.2">
      <c r="A487" t="s">
        <v>498</v>
      </c>
      <c r="B487" t="s">
        <v>620</v>
      </c>
      <c r="C487" t="s">
        <v>951</v>
      </c>
      <c r="D487" t="str" cm="1">
        <f t="array" ref="D487">_xlfn.LET(
    _xlpm.searchText, B487,
    _xlpm.matchIndex, MATCH(TRUE, INDEX(ISNUMBER(SEARCH(E:E, _xlpm.searchText)), 0), 0),
    IF(ISNA(_xlpm.matchIndex), "",
       INDEX(F:F, _xlpm.matchIndex)
    )
)</f>
        <v>T3SS_YscJ</v>
      </c>
      <c r="G487" t="str">
        <f t="shared" si="7"/>
        <v>Rubinisphaera</v>
      </c>
    </row>
    <row r="488" spans="1:7" x14ac:dyDescent="0.2">
      <c r="A488" t="s">
        <v>499</v>
      </c>
      <c r="B488" t="s">
        <v>595</v>
      </c>
      <c r="C488" t="s">
        <v>834</v>
      </c>
      <c r="D488" t="str" cm="1">
        <f t="array" ref="D488">_xlfn.LET(
    _xlpm.searchText, B488,
    _xlpm.matchIndex, MATCH(TRUE, INDEX(ISNUMBER(SEARCH(E:E, _xlpm.searchText)), 0), 0),
    IF(ISNA(_xlpm.matchIndex), "",
       INDEX(F:F, _xlpm.matchIndex)
    )
)</f>
        <v>FliF</v>
      </c>
      <c r="G488" t="str">
        <f t="shared" si="7"/>
        <v>Vibrio</v>
      </c>
    </row>
    <row r="489" spans="1:7" x14ac:dyDescent="0.2">
      <c r="A489" t="s">
        <v>500</v>
      </c>
      <c r="B489" t="s">
        <v>595</v>
      </c>
      <c r="C489" t="s">
        <v>835</v>
      </c>
      <c r="D489" t="str" cm="1">
        <f t="array" ref="D489">_xlfn.LET(
    _xlpm.searchText, B489,
    _xlpm.matchIndex, MATCH(TRUE, INDEX(ISNUMBER(SEARCH(E:E, _xlpm.searchText)), 0), 0),
    IF(ISNA(_xlpm.matchIndex), "",
       INDEX(F:F, _xlpm.matchIndex)
    )
)</f>
        <v>FliF</v>
      </c>
      <c r="G489" t="str">
        <f t="shared" si="7"/>
        <v>Vibrio</v>
      </c>
    </row>
    <row r="490" spans="1:7" x14ac:dyDescent="0.2">
      <c r="A490" t="s">
        <v>501</v>
      </c>
      <c r="B490" t="s">
        <v>670</v>
      </c>
      <c r="C490" t="s">
        <v>952</v>
      </c>
      <c r="D490" t="str" cm="1">
        <f t="array" ref="D490">_xlfn.LET(
    _xlpm.searchText, B490,
    _xlpm.matchIndex, MATCH(TRUE, INDEX(ISNUMBER(SEARCH(E:E, _xlpm.searchText)), 0), 0),
    IF(ISNA(_xlpm.matchIndex), "",
       INDEX(F:F, _xlpm.matchIndex)
    )
)</f>
        <v>FliF</v>
      </c>
      <c r="G490" t="str">
        <f t="shared" si="7"/>
        <v>Rhodopirellula</v>
      </c>
    </row>
    <row r="491" spans="1:7" x14ac:dyDescent="0.2">
      <c r="A491" t="s">
        <v>502</v>
      </c>
      <c r="B491" t="s">
        <v>671</v>
      </c>
      <c r="C491" t="s">
        <v>841</v>
      </c>
      <c r="D491" t="str" cm="1">
        <f t="array" ref="D491">_xlfn.LET(
    _xlpm.searchText, B491,
    _xlpm.matchIndex, MATCH(TRUE, INDEX(ISNUMBER(SEARCH(E:E, _xlpm.searchText)), 0), 0),
    IF(ISNA(_xlpm.matchIndex), "",
       INDEX(F:F, _xlpm.matchIndex)
    )
)</f>
        <v>FliF</v>
      </c>
      <c r="G491" t="str">
        <f t="shared" si="7"/>
        <v>Photobacterium</v>
      </c>
    </row>
    <row r="492" spans="1:7" x14ac:dyDescent="0.2">
      <c r="A492" t="s">
        <v>503</v>
      </c>
      <c r="B492" t="s">
        <v>672</v>
      </c>
      <c r="C492" t="s">
        <v>747</v>
      </c>
      <c r="D492" t="str" cm="1">
        <f t="array" ref="D492">_xlfn.LET(
    _xlpm.searchText, B492,
    _xlpm.matchIndex, MATCH(TRUE, INDEX(ISNUMBER(SEARCH(E:E, _xlpm.searchText)), 0), 0),
    IF(ISNA(_xlpm.matchIndex), "",
       INDEX(F:F, _xlpm.matchIndex)
    )
)</f>
        <v>hypothetical</v>
      </c>
      <c r="G492" t="str">
        <f t="shared" si="7"/>
        <v>Bacillus</v>
      </c>
    </row>
    <row r="493" spans="1:7" x14ac:dyDescent="0.2">
      <c r="A493" t="s">
        <v>504</v>
      </c>
      <c r="B493" t="s">
        <v>673</v>
      </c>
      <c r="C493" t="s">
        <v>747</v>
      </c>
      <c r="D493" t="str" cm="1">
        <f t="array" ref="D493">_xlfn.LET(
    _xlpm.searchText, B493,
    _xlpm.matchIndex, MATCH(TRUE, INDEX(ISNUMBER(SEARCH(E:E, _xlpm.searchText)), 0), 0),
    IF(ISNA(_xlpm.matchIndex), "",
       INDEX(F:F, _xlpm.matchIndex)
    )
)</f>
        <v>hypothetical</v>
      </c>
      <c r="G493" t="str">
        <f t="shared" si="7"/>
        <v>Bacillus</v>
      </c>
    </row>
    <row r="494" spans="1:7" x14ac:dyDescent="0.2">
      <c r="A494" t="s">
        <v>505</v>
      </c>
      <c r="B494" t="s">
        <v>603</v>
      </c>
      <c r="C494" t="s">
        <v>842</v>
      </c>
      <c r="D494" t="str" cm="1">
        <f t="array" ref="D494">_xlfn.LET(
    _xlpm.searchText, B494,
    _xlpm.matchIndex, MATCH(TRUE, INDEX(ISNUMBER(SEARCH(E:E, _xlpm.searchText)), 0), 0),
    IF(ISNA(_xlpm.matchIndex), "",
       INDEX(F:F, _xlpm.matchIndex)
    )
)</f>
        <v>FliF</v>
      </c>
      <c r="G494" t="str">
        <f t="shared" si="7"/>
        <v>Photobacterium</v>
      </c>
    </row>
    <row r="495" spans="1:7" x14ac:dyDescent="0.2">
      <c r="A495" t="s">
        <v>506</v>
      </c>
      <c r="B495" t="s">
        <v>584</v>
      </c>
      <c r="C495" t="s">
        <v>953</v>
      </c>
      <c r="D495" t="str" cm="1">
        <f t="array" ref="D495">_xlfn.LET(
    _xlpm.searchText, B495,
    _xlpm.matchIndex, MATCH(TRUE, INDEX(ISNUMBER(SEARCH(E:E, _xlpm.searchText)), 0), 0),
    IF(ISNA(_xlpm.matchIndex), "",
       INDEX(F:F, _xlpm.matchIndex)
    )
)</f>
        <v>FliF</v>
      </c>
      <c r="G495" t="str">
        <f t="shared" si="7"/>
        <v>Brachyspira</v>
      </c>
    </row>
    <row r="496" spans="1:7" x14ac:dyDescent="0.2">
      <c r="A496" t="s">
        <v>507</v>
      </c>
      <c r="B496" t="s">
        <v>603</v>
      </c>
      <c r="C496" t="s">
        <v>954</v>
      </c>
      <c r="D496" t="str" cm="1">
        <f t="array" ref="D496">_xlfn.LET(
    _xlpm.searchText, B496,
    _xlpm.matchIndex, MATCH(TRUE, INDEX(ISNUMBER(SEARCH(E:E, _xlpm.searchText)), 0), 0),
    IF(ISNA(_xlpm.matchIndex), "",
       INDEX(F:F, _xlpm.matchIndex)
    )
)</f>
        <v>FliF</v>
      </c>
      <c r="G496" t="str">
        <f t="shared" si="7"/>
        <v>Aeromonas</v>
      </c>
    </row>
    <row r="497" spans="1:7" x14ac:dyDescent="0.2">
      <c r="A497" t="s">
        <v>508</v>
      </c>
      <c r="B497" t="s">
        <v>603</v>
      </c>
      <c r="C497" t="s">
        <v>955</v>
      </c>
      <c r="D497" t="str" cm="1">
        <f t="array" ref="D497">_xlfn.LET(
    _xlpm.searchText, B497,
    _xlpm.matchIndex, MATCH(TRUE, INDEX(ISNUMBER(SEARCH(E:E, _xlpm.searchText)), 0), 0),
    IF(ISNA(_xlpm.matchIndex), "",
       INDEX(F:F, _xlpm.matchIndex)
    )
)</f>
        <v>FliF</v>
      </c>
      <c r="G497" t="str">
        <f t="shared" si="7"/>
        <v>Brachyspira</v>
      </c>
    </row>
    <row r="498" spans="1:7" x14ac:dyDescent="0.2">
      <c r="A498" t="s">
        <v>509</v>
      </c>
      <c r="B498" t="s">
        <v>674</v>
      </c>
      <c r="C498" t="s">
        <v>700</v>
      </c>
      <c r="D498" t="str" cm="1">
        <f t="array" ref="D498">_xlfn.LET(
    _xlpm.searchText, B498,
    _xlpm.matchIndex, MATCH(TRUE, INDEX(ISNUMBER(SEARCH(E:E, _xlpm.searchText)), 0), 0),
    IF(ISNA(_xlpm.matchIndex), "",
       INDEX(F:F, _xlpm.matchIndex)
    )
)</f>
        <v>hypothetical</v>
      </c>
      <c r="G498" t="str">
        <f t="shared" si="7"/>
        <v>Paenibacillus</v>
      </c>
    </row>
    <row r="499" spans="1:7" x14ac:dyDescent="0.2">
      <c r="A499" t="s">
        <v>510</v>
      </c>
      <c r="B499" t="s">
        <v>603</v>
      </c>
      <c r="C499" t="s">
        <v>956</v>
      </c>
      <c r="D499" t="str" cm="1">
        <f t="array" ref="D499">_xlfn.LET(
    _xlpm.searchText, B499,
    _xlpm.matchIndex, MATCH(TRUE, INDEX(ISNUMBER(SEARCH(E:E, _xlpm.searchText)), 0), 0),
    IF(ISNA(_xlpm.matchIndex), "",
       INDEX(F:F, _xlpm.matchIndex)
    )
)</f>
        <v>FliF</v>
      </c>
      <c r="G499" t="str">
        <f t="shared" si="7"/>
        <v>Aeromonas</v>
      </c>
    </row>
    <row r="500" spans="1:7" x14ac:dyDescent="0.2">
      <c r="A500" t="s">
        <v>511</v>
      </c>
      <c r="B500" t="s">
        <v>623</v>
      </c>
      <c r="C500" t="s">
        <v>909</v>
      </c>
      <c r="D500" t="str" cm="1">
        <f t="array" ref="D500">_xlfn.LET(
    _xlpm.searchText, B500,
    _xlpm.matchIndex, MATCH(TRUE, INDEX(ISNUMBER(SEARCH(E:E, _xlpm.searchText)), 0), 0),
    IF(ISNA(_xlpm.matchIndex), "",
       INDEX(F:F, _xlpm.matchIndex)
    )
)</f>
        <v>T3SS</v>
      </c>
      <c r="G500" t="str">
        <f t="shared" si="7"/>
        <v>Chlamydia</v>
      </c>
    </row>
    <row r="501" spans="1:7" x14ac:dyDescent="0.2">
      <c r="A501" t="s">
        <v>512</v>
      </c>
      <c r="B501" t="s">
        <v>603</v>
      </c>
      <c r="C501" t="s">
        <v>957</v>
      </c>
      <c r="D501" t="str" cm="1">
        <f t="array" ref="D501">_xlfn.LET(
    _xlpm.searchText, B501,
    _xlpm.matchIndex, MATCH(TRUE, INDEX(ISNUMBER(SEARCH(E:E, _xlpm.searchText)), 0), 0),
    IF(ISNA(_xlpm.matchIndex), "",
       INDEX(F:F, _xlpm.matchIndex)
    )
)</f>
        <v>FliF</v>
      </c>
      <c r="G501" t="str">
        <f t="shared" si="7"/>
        <v>Listeria</v>
      </c>
    </row>
    <row r="502" spans="1:7" x14ac:dyDescent="0.2">
      <c r="A502" t="s">
        <v>513</v>
      </c>
      <c r="B502" t="s">
        <v>658</v>
      </c>
      <c r="C502" t="s">
        <v>919</v>
      </c>
      <c r="D502" t="str" cm="1">
        <f t="array" ref="D502">_xlfn.LET(
    _xlpm.searchText, B502,
    _xlpm.matchIndex, MATCH(TRUE, INDEX(ISNUMBER(SEARCH(E:E, _xlpm.searchText)), 0), 0),
    IF(ISNA(_xlpm.matchIndex), "",
       INDEX(F:F, _xlpm.matchIndex)
    )
)</f>
        <v>FliF</v>
      </c>
      <c r="G502" t="str">
        <f t="shared" si="7"/>
        <v>Aeromonas</v>
      </c>
    </row>
    <row r="503" spans="1:7" x14ac:dyDescent="0.2">
      <c r="A503" t="s">
        <v>514</v>
      </c>
      <c r="B503" t="s">
        <v>584</v>
      </c>
      <c r="C503" t="s">
        <v>958</v>
      </c>
      <c r="D503" t="str" cm="1">
        <f t="array" ref="D503">_xlfn.LET(
    _xlpm.searchText, B503,
    _xlpm.matchIndex, MATCH(TRUE, INDEX(ISNUMBER(SEARCH(E:E, _xlpm.searchText)), 0), 0),
    IF(ISNA(_xlpm.matchIndex), "",
       INDEX(F:F, _xlpm.matchIndex)
    )
)</f>
        <v>FliF</v>
      </c>
      <c r="G503" t="str">
        <f t="shared" si="7"/>
        <v>Anatilimnocola</v>
      </c>
    </row>
    <row r="504" spans="1:7" x14ac:dyDescent="0.2">
      <c r="A504" t="s">
        <v>515</v>
      </c>
      <c r="B504" t="s">
        <v>584</v>
      </c>
      <c r="C504" t="s">
        <v>959</v>
      </c>
      <c r="D504" t="str" cm="1">
        <f t="array" ref="D504">_xlfn.LET(
    _xlpm.searchText, B504,
    _xlpm.matchIndex, MATCH(TRUE, INDEX(ISNUMBER(SEARCH(E:E, _xlpm.searchText)), 0), 0),
    IF(ISNA(_xlpm.matchIndex), "",
       INDEX(F:F, _xlpm.matchIndex)
    )
)</f>
        <v>FliF</v>
      </c>
      <c r="G504" t="str">
        <f t="shared" si="7"/>
        <v>Lignipirellula</v>
      </c>
    </row>
    <row r="505" spans="1:7" x14ac:dyDescent="0.2">
      <c r="A505" t="s">
        <v>516</v>
      </c>
      <c r="B505" t="s">
        <v>658</v>
      </c>
      <c r="C505" t="s">
        <v>942</v>
      </c>
      <c r="D505" t="str" cm="1">
        <f t="array" ref="D505">_xlfn.LET(
    _xlpm.searchText, B505,
    _xlpm.matchIndex, MATCH(TRUE, INDEX(ISNUMBER(SEARCH(E:E, _xlpm.searchText)), 0), 0),
    IF(ISNA(_xlpm.matchIndex), "",
       INDEX(F:F, _xlpm.matchIndex)
    )
)</f>
        <v>FliF</v>
      </c>
      <c r="G505" t="str">
        <f t="shared" si="7"/>
        <v>Vibrio</v>
      </c>
    </row>
    <row r="506" spans="1:7" x14ac:dyDescent="0.2">
      <c r="A506" t="s">
        <v>517</v>
      </c>
      <c r="B506" t="s">
        <v>603</v>
      </c>
      <c r="C506" t="s">
        <v>930</v>
      </c>
      <c r="D506" t="str" cm="1">
        <f t="array" ref="D506">_xlfn.LET(
    _xlpm.searchText, B506,
    _xlpm.matchIndex, MATCH(TRUE, INDEX(ISNUMBER(SEARCH(E:E, _xlpm.searchText)), 0), 0),
    IF(ISNA(_xlpm.matchIndex), "",
       INDEX(F:F, _xlpm.matchIndex)
    )
)</f>
        <v>FliF</v>
      </c>
      <c r="G506" t="str">
        <f t="shared" si="7"/>
        <v>Sulfidibacter</v>
      </c>
    </row>
    <row r="507" spans="1:7" x14ac:dyDescent="0.2">
      <c r="A507" t="s">
        <v>518</v>
      </c>
      <c r="B507" t="s">
        <v>675</v>
      </c>
      <c r="C507" t="s">
        <v>960</v>
      </c>
      <c r="D507" t="str" cm="1">
        <f t="array" ref="D507">_xlfn.LET(
    _xlpm.searchText, B507,
    _xlpm.matchIndex, MATCH(TRUE, INDEX(ISNUMBER(SEARCH(E:E, _xlpm.searchText)), 0), 0),
    IF(ISNA(_xlpm.matchIndex), "",
       INDEX(F:F, _xlpm.matchIndex)
    )
)</f>
        <v>hypothetical</v>
      </c>
      <c r="G507" t="str">
        <f t="shared" si="7"/>
        <v>Chlamydiales</v>
      </c>
    </row>
    <row r="508" spans="1:7" x14ac:dyDescent="0.2">
      <c r="A508" t="s">
        <v>519</v>
      </c>
      <c r="B508" t="s">
        <v>676</v>
      </c>
      <c r="C508" t="s">
        <v>961</v>
      </c>
      <c r="D508" t="str" cm="1">
        <f t="array" ref="D508">_xlfn.LET(
    _xlpm.searchText, B508,
    _xlpm.matchIndex, MATCH(TRUE, INDEX(ISNUMBER(SEARCH(E:E, _xlpm.searchText)), 0), 0),
    IF(ISNA(_xlpm.matchIndex), "",
       INDEX(F:F, _xlpm.matchIndex)
    )
)</f>
        <v>ATPase</v>
      </c>
      <c r="G508" t="str">
        <f t="shared" si="7"/>
        <v>Solibacillus</v>
      </c>
    </row>
    <row r="509" spans="1:7" x14ac:dyDescent="0.2">
      <c r="A509" t="s">
        <v>521</v>
      </c>
      <c r="B509" t="s">
        <v>677</v>
      </c>
      <c r="C509" t="s">
        <v>744</v>
      </c>
      <c r="D509" t="str" cm="1">
        <f t="array" ref="D509">_xlfn.LET(
    _xlpm.searchText, B509,
    _xlpm.matchIndex, MATCH(TRUE, INDEX(ISNUMBER(SEARCH(E:E, _xlpm.searchText)), 0), 0),
    IF(ISNA(_xlpm.matchIndex), "",
       INDEX(F:F, _xlpm.matchIndex)
    )
)</f>
        <v>Ion_Binding</v>
      </c>
      <c r="G509" t="str">
        <f t="shared" si="7"/>
        <v>Lysinibacillus</v>
      </c>
    </row>
    <row r="510" spans="1:7" x14ac:dyDescent="0.2">
      <c r="A510" t="s">
        <v>522</v>
      </c>
      <c r="B510" t="s">
        <v>676</v>
      </c>
      <c r="C510" t="s">
        <v>733</v>
      </c>
      <c r="D510" t="str" cm="1">
        <f t="array" ref="D510">_xlfn.LET(
    _xlpm.searchText, B510,
    _xlpm.matchIndex, MATCH(TRUE, INDEX(ISNUMBER(SEARCH(E:E, _xlpm.searchText)), 0), 0),
    IF(ISNA(_xlpm.matchIndex), "",
       INDEX(F:F, _xlpm.matchIndex)
    )
)</f>
        <v>ATPase</v>
      </c>
      <c r="G510" t="str">
        <f t="shared" si="7"/>
        <v>Psychrobacillus</v>
      </c>
    </row>
    <row r="511" spans="1:7" x14ac:dyDescent="0.2">
      <c r="A511" t="s">
        <v>523</v>
      </c>
      <c r="B511" t="s">
        <v>676</v>
      </c>
      <c r="C511" t="s">
        <v>739</v>
      </c>
      <c r="D511" t="str" cm="1">
        <f t="array" ref="D511">_xlfn.LET(
    _xlpm.searchText, B511,
    _xlpm.matchIndex, MATCH(TRUE, INDEX(ISNUMBER(SEARCH(E:E, _xlpm.searchText)), 0), 0),
    IF(ISNA(_xlpm.matchIndex), "",
       INDEX(F:F, _xlpm.matchIndex)
    )
)</f>
        <v>ATPase</v>
      </c>
      <c r="G511" t="str">
        <f t="shared" si="7"/>
        <v>Edaphobacillus</v>
      </c>
    </row>
    <row r="512" spans="1:7" x14ac:dyDescent="0.2">
      <c r="A512" t="s">
        <v>524</v>
      </c>
      <c r="B512" t="s">
        <v>678</v>
      </c>
      <c r="C512" t="s">
        <v>754</v>
      </c>
      <c r="D512" t="str" cm="1">
        <f t="array" ref="D512">_xlfn.LET(
    _xlpm.searchText, B512,
    _xlpm.matchIndex, MATCH(TRUE, INDEX(ISNUMBER(SEARCH(E:E, _xlpm.searchText)), 0), 0),
    IF(ISNA(_xlpm.matchIndex), "",
       INDEX(F:F, _xlpm.matchIndex)
    )
)</f>
        <v>Flagellar_MotorSwitch</v>
      </c>
      <c r="G512" t="str">
        <f t="shared" si="7"/>
        <v>Chlamydia</v>
      </c>
    </row>
    <row r="513" spans="1:7" x14ac:dyDescent="0.2">
      <c r="A513" t="s">
        <v>525</v>
      </c>
      <c r="B513" t="s">
        <v>679</v>
      </c>
      <c r="C513" t="s">
        <v>962</v>
      </c>
      <c r="D513" t="str" cm="1">
        <f t="array" ref="D513">_xlfn.LET(
    _xlpm.searchText, B513,
    _xlpm.matchIndex, MATCH(TRUE, INDEX(ISNUMBER(SEARCH(E:E, _xlpm.searchText)), 0), 0),
    IF(ISNA(_xlpm.matchIndex), "",
       INDEX(F:F, _xlpm.matchIndex)
    )
)</f>
        <v>hypothetical</v>
      </c>
      <c r="G513" t="str">
        <f t="shared" si="7"/>
        <v>Enterococcus</v>
      </c>
    </row>
    <row r="514" spans="1:7" x14ac:dyDescent="0.2">
      <c r="A514" t="s">
        <v>526</v>
      </c>
      <c r="B514" t="s">
        <v>623</v>
      </c>
      <c r="C514" t="s">
        <v>869</v>
      </c>
      <c r="D514" t="str" cm="1">
        <f t="array" ref="D514">_xlfn.LET(
    _xlpm.searchText, B514,
    _xlpm.matchIndex, MATCH(TRUE, INDEX(ISNUMBER(SEARCH(E:E, _xlpm.searchText)), 0), 0),
    IF(ISNA(_xlpm.matchIndex), "",
       INDEX(F:F, _xlpm.matchIndex)
    )
)</f>
        <v>T3SS</v>
      </c>
      <c r="G514" t="str">
        <f t="shared" si="7"/>
        <v>Chlamydia</v>
      </c>
    </row>
    <row r="515" spans="1:7" x14ac:dyDescent="0.2">
      <c r="A515" t="s">
        <v>527</v>
      </c>
      <c r="B515" t="s">
        <v>680</v>
      </c>
      <c r="C515" t="s">
        <v>700</v>
      </c>
      <c r="D515" t="str" cm="1">
        <f t="array" ref="D515">_xlfn.LET(
    _xlpm.searchText, B515,
    _xlpm.matchIndex, MATCH(TRUE, INDEX(ISNUMBER(SEARCH(E:E, _xlpm.searchText)), 0), 0),
    IF(ISNA(_xlpm.matchIndex), "",
       INDEX(F:F, _xlpm.matchIndex)
    )
)</f>
        <v>ATPase</v>
      </c>
      <c r="G515" t="str">
        <f t="shared" si="7"/>
        <v>Paenibacillus</v>
      </c>
    </row>
    <row r="516" spans="1:7" x14ac:dyDescent="0.2">
      <c r="A516" t="s">
        <v>528</v>
      </c>
      <c r="B516" t="s">
        <v>681</v>
      </c>
      <c r="C516" t="s">
        <v>957</v>
      </c>
      <c r="D516" t="str" cm="1">
        <f t="array" ref="D516">_xlfn.LET(
    _xlpm.searchText, B516,
    _xlpm.matchIndex, MATCH(TRUE, INDEX(ISNUMBER(SEARCH(E:E, _xlpm.searchText)), 0), 0),
    IF(ISNA(_xlpm.matchIndex), "",
       INDEX(F:F, _xlpm.matchIndex)
    )
)</f>
        <v>Transcriptional_Regulator</v>
      </c>
      <c r="G516" t="str">
        <f t="shared" ref="G516:G518" si="8">IFERROR(_xlfn.TEXTBEFORE(C516, " "), C516)</f>
        <v>Listeria</v>
      </c>
    </row>
    <row r="517" spans="1:7" x14ac:dyDescent="0.2">
      <c r="A517" t="s">
        <v>529</v>
      </c>
      <c r="B517" t="s">
        <v>681</v>
      </c>
      <c r="C517" t="s">
        <v>742</v>
      </c>
      <c r="D517" t="str" cm="1">
        <f t="array" ref="D517">_xlfn.LET(
    _xlpm.searchText, B517,
    _xlpm.matchIndex, MATCH(TRUE, INDEX(ISNUMBER(SEARCH(E:E, _xlpm.searchText)), 0), 0),
    IF(ISNA(_xlpm.matchIndex), "",
       INDEX(F:F, _xlpm.matchIndex)
    )
)</f>
        <v>Transcriptional_Regulator</v>
      </c>
      <c r="G517" t="str">
        <f t="shared" si="8"/>
        <v>Turicibacter</v>
      </c>
    </row>
    <row r="518" spans="1:7" x14ac:dyDescent="0.2">
      <c r="A518" t="s">
        <v>530</v>
      </c>
      <c r="B518" t="s">
        <v>682</v>
      </c>
      <c r="C518" t="s">
        <v>963</v>
      </c>
      <c r="D518" t="str" cm="1">
        <f t="array" ref="D518">_xlfn.LET(
    _xlpm.searchText, B518,
    _xlpm.matchIndex, MATCH(TRUE, INDEX(ISNUMBER(SEARCH(E:E, _xlpm.searchText)), 0), 0),
    IF(ISNA(_xlpm.matchIndex), "",
       INDEX(F:F, _xlpm.matchIndex)
    )
)</f>
        <v>Transcriptional_Regulator</v>
      </c>
      <c r="G518" t="str">
        <f t="shared" si="8"/>
        <v>Enterococcus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</vt:lpstr>
      <vt:lpstr>working_sheet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2025-11-09T10:56:10Z</dcterms:created>
  <dcterms:modified xsi:type="dcterms:W3CDTF">2026-02-15T18:23:16Z</dcterms:modified>
</cp:coreProperties>
</file>