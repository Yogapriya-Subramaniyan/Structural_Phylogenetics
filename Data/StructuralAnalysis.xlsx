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7a029199edd8ae/PG Materials/Semester3/Structural_Phylogeny/Data/"/>
    </mc:Choice>
  </mc:AlternateContent>
  <xr:revisionPtr revIDLastSave="319" documentId="14_{1F723599-1D32-1444-9A09-B09FE5E1B7D4}" xr6:coauthVersionLast="47" xr6:coauthVersionMax="47" xr10:uidLastSave="{053ABB05-D87A-8347-B1EA-174EDF42D173}"/>
  <bookViews>
    <workbookView xWindow="0" yWindow="760" windowWidth="29340" windowHeight="18880" activeTab="2" xr2:uid="{430A233A-6B30-984D-B0B1-B5E6015D3913}"/>
  </bookViews>
  <sheets>
    <sheet name="Long_Branch_removed" sheetId="1" r:id="rId1"/>
    <sheet name="AnnotateMSA" sheetId="4" r:id="rId2"/>
    <sheet name="Long_Branch_removed (2)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5" l="1"/>
  <c r="X8" i="5"/>
  <c r="N9" i="5"/>
  <c r="O9" i="5"/>
  <c r="P9" i="5"/>
  <c r="Q9" i="5"/>
  <c r="R9" i="5"/>
  <c r="S9" i="5"/>
  <c r="T9" i="5"/>
  <c r="U9" i="5"/>
  <c r="V9" i="5"/>
  <c r="W9" i="5"/>
  <c r="M9" i="5"/>
  <c r="D9" i="5"/>
  <c r="N8" i="5"/>
  <c r="O8" i="5"/>
  <c r="P8" i="5"/>
  <c r="Q8" i="5"/>
  <c r="R8" i="5"/>
  <c r="S8" i="5"/>
  <c r="T8" i="5"/>
  <c r="U8" i="5"/>
  <c r="V8" i="5"/>
  <c r="W8" i="5"/>
  <c r="M8" i="5"/>
  <c r="D8" i="5"/>
  <c r="E8" i="5"/>
  <c r="F8" i="5"/>
  <c r="G8" i="5"/>
  <c r="G9" i="5" s="1"/>
  <c r="H8" i="5"/>
  <c r="H9" i="5" s="1"/>
  <c r="I8" i="5"/>
  <c r="I9" i="5" s="1"/>
  <c r="J8" i="5"/>
  <c r="J9" i="5" s="1"/>
  <c r="K8" i="5"/>
  <c r="K9" i="5" s="1"/>
  <c r="L8" i="5"/>
  <c r="L9" i="5" s="1"/>
  <c r="C8" i="5"/>
  <c r="C9" i="5" s="1"/>
  <c r="E9" i="5"/>
  <c r="F9" i="5"/>
</calcChain>
</file>

<file path=xl/sharedStrings.xml><?xml version="1.0" encoding="utf-8"?>
<sst xmlns="http://schemas.openxmlformats.org/spreadsheetml/2006/main" count="503" uniqueCount="152">
  <si>
    <t>Protein</t>
  </si>
  <si>
    <t>Sequences used</t>
  </si>
  <si>
    <t>α</t>
  </si>
  <si>
    <r>
      <t>α</t>
    </r>
    <r>
      <rPr>
        <sz val="12"/>
        <color theme="1"/>
        <rFont val="Aptos Narrow"/>
        <scheme val="minor"/>
      </rPr>
      <t>ββαβ1</t>
    </r>
  </si>
  <si>
    <t>β</t>
  </si>
  <si>
    <r>
      <t>α</t>
    </r>
    <r>
      <rPr>
        <sz val="12"/>
        <color theme="1"/>
        <rFont val="Aptos Narrow"/>
        <scheme val="minor"/>
      </rPr>
      <t>ββαβ2</t>
    </r>
  </si>
  <si>
    <t>139-147</t>
  </si>
  <si>
    <t>Extension</t>
  </si>
  <si>
    <t>FliF</t>
  </si>
  <si>
    <t>T3SS</t>
  </si>
  <si>
    <t>SpoIIIAH</t>
  </si>
  <si>
    <t>SpoIIIAG</t>
  </si>
  <si>
    <t>SpoIIIAF</t>
  </si>
  <si>
    <r>
      <t>α</t>
    </r>
    <r>
      <rPr>
        <sz val="12"/>
        <color theme="1"/>
        <rFont val="Aptos Narrow"/>
        <scheme val="minor"/>
      </rPr>
      <t>ββαβ</t>
    </r>
  </si>
  <si>
    <r>
      <t>α</t>
    </r>
    <r>
      <rPr>
        <sz val="12"/>
        <color rgb="FF000000"/>
        <rFont val="Aptos Narrow"/>
        <scheme val="minor"/>
      </rPr>
      <t>ββαβ</t>
    </r>
  </si>
  <si>
    <t>αββαβ</t>
  </si>
  <si>
    <t>Alignment</t>
  </si>
  <si>
    <t>203-210</t>
  </si>
  <si>
    <t>Data/07_AlphafoldSequence_aa3di_alignment_tree/lbRemoved2</t>
  </si>
  <si>
    <t>PDB structure</t>
  </si>
  <si>
    <t>7CIK | pdb_00007cik</t>
  </si>
  <si>
    <t>6SD2 | pdb_00006sd2</t>
  </si>
  <si>
    <t xml:space="preserve">FliF - sturucture of domain 1 </t>
  </si>
  <si>
    <t xml:space="preserve">FliF - RBM multimer of domain 1 </t>
  </si>
  <si>
    <t>6SD3 | pdb_00006sd3</t>
  </si>
  <si>
    <t>FliF - RBM multimer of domain 1 and domain 2</t>
  </si>
  <si>
    <t>5WC3 | pdb_00005wc3</t>
  </si>
  <si>
    <t>SpoIIIAG - RBM multimer (Structure similar to Domain 2 of FliF)</t>
  </si>
  <si>
    <t>Salmonella</t>
  </si>
  <si>
    <t>228-</t>
  </si>
  <si>
    <t>271-381</t>
  </si>
  <si>
    <t>382-</t>
  </si>
  <si>
    <t>Experimental</t>
  </si>
  <si>
    <t>90-</t>
  </si>
  <si>
    <t>181 -</t>
  </si>
  <si>
    <t>WP_014824491.1_Solibacillus_FliF</t>
  </si>
  <si>
    <t>&gt;ATO50947.1_Brevibacillus_SpoIIIAF</t>
  </si>
  <si>
    <t>&gt;WP_008404261.1_Solibacillus_SpoIIIAH</t>
  </si>
  <si>
    <t>125 - 144</t>
  </si>
  <si>
    <t>150-158</t>
  </si>
  <si>
    <t>174-181</t>
  </si>
  <si>
    <t>211-215</t>
  </si>
  <si>
    <t>236-262</t>
  </si>
  <si>
    <t>267-276</t>
  </si>
  <si>
    <t>281-362</t>
  </si>
  <si>
    <t>367-377</t>
  </si>
  <si>
    <t>388-405</t>
  </si>
  <si>
    <t>423-427</t>
  </si>
  <si>
    <t>418-469</t>
  </si>
  <si>
    <t>502-533</t>
  </si>
  <si>
    <t>607-620</t>
  </si>
  <si>
    <t>189-202</t>
  </si>
  <si>
    <t>743-756</t>
  </si>
  <si>
    <t>774-778</t>
  </si>
  <si>
    <t>845-898</t>
  </si>
  <si>
    <t>921-930</t>
  </si>
  <si>
    <t>940-1199</t>
  </si>
  <si>
    <t>1223-1233</t>
  </si>
  <si>
    <t>1334-1350</t>
  </si>
  <si>
    <t>1387-1391</t>
  </si>
  <si>
    <t>AAS40694.1_Bacillus_FliF</t>
  </si>
  <si>
    <t>113 - 135</t>
  </si>
  <si>
    <t>160-170</t>
  </si>
  <si>
    <t>178-191</t>
  </si>
  <si>
    <t>195-204</t>
  </si>
  <si>
    <t>223-247</t>
  </si>
  <si>
    <t>256-265</t>
  </si>
  <si>
    <t>270-348</t>
  </si>
  <si>
    <t>352-363</t>
  </si>
  <si>
    <t>374-384</t>
  </si>
  <si>
    <t>398-405</t>
  </si>
  <si>
    <t>βαββα</t>
  </si>
  <si>
    <t>37-105(90)</t>
  </si>
  <si>
    <t>48-118(100)</t>
  </si>
  <si>
    <t>218-404</t>
  </si>
  <si>
    <t>218-403</t>
  </si>
  <si>
    <t>418-476</t>
  </si>
  <si>
    <t>502-</t>
  </si>
  <si>
    <t>845-</t>
  </si>
  <si>
    <t>&gt;QTD51128.1_Sulfidibacter_T3SS_SctJ</t>
  </si>
  <si>
    <t>24-31</t>
  </si>
  <si>
    <t>38-45</t>
  </si>
  <si>
    <t>50-55</t>
  </si>
  <si>
    <t>60-66</t>
  </si>
  <si>
    <t>70-79</t>
  </si>
  <si>
    <t>103-123</t>
  </si>
  <si>
    <t>128-136</t>
  </si>
  <si>
    <t>168-178</t>
  </si>
  <si>
    <t>182-193</t>
  </si>
  <si>
    <t>94-123</t>
  </si>
  <si>
    <t>129-134</t>
  </si>
  <si>
    <t>137-143</t>
  </si>
  <si>
    <t>149-162</t>
  </si>
  <si>
    <t>88-105</t>
  </si>
  <si>
    <t>124-179</t>
  </si>
  <si>
    <t>180-188</t>
  </si>
  <si>
    <t>193-207</t>
  </si>
  <si>
    <t>214-218</t>
  </si>
  <si>
    <t>58-116</t>
  </si>
  <si>
    <t>123-127</t>
  </si>
  <si>
    <t>137-142</t>
  </si>
  <si>
    <t>204-217</t>
  </si>
  <si>
    <t>418 - 475</t>
  </si>
  <si>
    <t>506-561</t>
  </si>
  <si>
    <t>607-619</t>
  </si>
  <si>
    <t>699_744-756</t>
  </si>
  <si>
    <t>443-474</t>
  </si>
  <si>
    <t>111-119</t>
  </si>
  <si>
    <t>504-512</t>
  </si>
  <si>
    <t>517-605</t>
  </si>
  <si>
    <t>606-619</t>
  </si>
  <si>
    <t>743-757</t>
  </si>
  <si>
    <t>373-500</t>
  </si>
  <si>
    <t>508-534</t>
  </si>
  <si>
    <t>606-616</t>
  </si>
  <si>
    <t>744-757</t>
  </si>
  <si>
    <t>418-</t>
  </si>
  <si>
    <t>921-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</si>
  <si>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</si>
  <si>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</si>
  <si>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</si>
  <si>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</si>
  <si>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</si>
  <si>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</si>
  <si>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</si>
  <si>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</si>
  <si>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</si>
  <si>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</si>
  <si>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</si>
  <si>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</si>
  <si>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</si>
  <si>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</si>
  <si>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</si>
  <si>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</si>
  <si>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</si>
  <si>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</si>
  <si>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</si>
  <si>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αββαβ1</t>
  </si>
  <si>
    <t>αββαβ2</t>
  </si>
  <si>
    <t>Column32</t>
  </si>
  <si>
    <t>Column62</t>
  </si>
  <si>
    <t>Column72</t>
  </si>
  <si>
    <t>Column82</t>
  </si>
  <si>
    <t>Column92</t>
  </si>
  <si>
    <t>Column102</t>
  </si>
  <si>
    <t>Column112</t>
  </si>
  <si>
    <t>Column122</t>
  </si>
  <si>
    <t>Column132</t>
  </si>
  <si>
    <t>Column142</t>
  </si>
  <si>
    <t>In Split (residue position)</t>
  </si>
  <si>
    <t>In Split (residue position in individual RBM file)</t>
  </si>
  <si>
    <t>Insplit(Alignment Position)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</si>
</sst>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2" fillId="0" borderId="0" xfId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5" fillId="0" borderId="0" xfId="0" applyFont="1"/>
    <xf numFmtId="0" fontId="5" fillId="2" borderId="0" xfId="0" applyFont="1" applyFill="1"/>
    <xf numFmtId="0" fontId="7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C3059-A70C-D142-BCE1-2142196350D0}" name="Table1" displayName="Table1" ref="A2:AC32" totalsRowShown="0">
  <autoFilter ref="A2:AC32" xr:uid="{798C3059-A70C-D142-BCE1-2142196350D0}"/>
  <tableColumns count="29">
    <tableColumn id="1" xr3:uid="{FC29B6ED-50C0-C541-88DD-401384B501EE}" name="Column1"/>
    <tableColumn id="2" xr3:uid="{288C3F30-ACB7-3141-A0AC-7E77849C1BD3}" name="Column2"/>
    <tableColumn id="3" xr3:uid="{3AEFC40F-6E90-4945-9815-2A7EE28E0B1C}" name="Column3"/>
    <tableColumn id="20" xr3:uid="{4E264982-79F6-3349-B37A-083BCBDC8F90}" name="Column32"/>
    <tableColumn id="4" xr3:uid="{20D4F553-1F28-2344-BFA3-B72BC024FCD8}" name="Column4"/>
    <tableColumn id="5" xr3:uid="{48CAA9B1-C27B-4A43-B3F8-299A1485AD3F}" name="Column5"/>
    <tableColumn id="6" xr3:uid="{FA0CDF26-4210-8145-AF24-4AE5CEE28896}" name="Column6"/>
    <tableColumn id="21" xr3:uid="{A758F366-7646-1D4B-BA32-601CC9303A7B}" name="Column62"/>
    <tableColumn id="7" xr3:uid="{89861C3D-9EFB-A444-BB54-6EB9569F4EA0}" name="Column7"/>
    <tableColumn id="22" xr3:uid="{6B4D9C41-34DD-A540-A1B2-19AC71F194CC}" name="Column72"/>
    <tableColumn id="8" xr3:uid="{5118E2F5-6ED9-BF4A-82CF-7A0D511F0AF7}" name="Column8"/>
    <tableColumn id="23" xr3:uid="{EAACA35B-7C5E-614B-8DA7-BAAA0C7B5E8A}" name="Column82"/>
    <tableColumn id="9" xr3:uid="{DD548422-AE86-1D4B-ADB6-A6F1A47525C1}" name="Column9"/>
    <tableColumn id="24" xr3:uid="{746877D4-F5DD-6049-A3BC-199B18337D67}" name="Column92"/>
    <tableColumn id="10" xr3:uid="{56246C66-C1D1-D548-A576-FF9CA387A583}" name="Column10"/>
    <tableColumn id="25" xr3:uid="{B2147EBB-1248-0840-A064-26C5B5BE5FC3}" name="Column102"/>
    <tableColumn id="11" xr3:uid="{D37EFB67-2C0E-8D43-AFBB-BEC0A5CA1242}" name="Column11"/>
    <tableColumn id="26" xr3:uid="{BDE50420-6D76-614B-AC69-3B0C6CF35EBB}" name="Column112"/>
    <tableColumn id="12" xr3:uid="{449512F6-3F2C-8B41-A624-EA5F6DA5B004}" name="Column12"/>
    <tableColumn id="27" xr3:uid="{4C5A9A0A-7B69-5445-8EA6-B25A43A2DF8C}" name="Column122"/>
    <tableColumn id="13" xr3:uid="{9CB58A9D-CD80-C448-BD93-3165B366049C}" name="Column13"/>
    <tableColumn id="28" xr3:uid="{B113EE10-6A15-6B48-AD8D-70394392E5D1}" name="Column132"/>
    <tableColumn id="14" xr3:uid="{7D281C7C-B7E1-5E49-820E-2B2D123F06CB}" name="Column14"/>
    <tableColumn id="29" xr3:uid="{0AD3E1E9-7A12-8B49-A585-25BDDBA3BE2C}" name="Column142"/>
    <tableColumn id="15" xr3:uid="{DDF2A0C0-7419-5849-B3B0-79F1CFE4A1BA}" name="Column15"/>
    <tableColumn id="16" xr3:uid="{48779029-C99D-7E46-8F54-E23AE7A0D473}" name="Column16"/>
    <tableColumn id="17" xr3:uid="{2BE15649-9DC8-4042-B58E-92608D0A1867}" name="Column17"/>
    <tableColumn id="18" xr3:uid="{F97BB651-7A6B-EB46-A05E-9750FDF79A03}" name="Column18"/>
    <tableColumn id="19" xr3:uid="{1023032B-2C41-DC4A-BD84-0FBF7C172968}" name="Column1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wpdb.org/documentation/new-format-for-pdb-ids" TargetMode="External"/><Relationship Id="rId2" Type="http://schemas.openxmlformats.org/officeDocument/2006/relationships/hyperlink" Target="https://www.wwpdb.org/documentation/new-format-for-pdb-ids" TargetMode="External"/><Relationship Id="rId1" Type="http://schemas.openxmlformats.org/officeDocument/2006/relationships/hyperlink" Target="https://www.wwpdb.org/documentation/new-format-for-pdb-ids" TargetMode="External"/><Relationship Id="rId4" Type="http://schemas.openxmlformats.org/officeDocument/2006/relationships/hyperlink" Target="https://www.wwpdb.org/documentation/new-format-for-pdb-id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wpdb.org/documentation/new-format-for-pdb-ids" TargetMode="External"/><Relationship Id="rId2" Type="http://schemas.openxmlformats.org/officeDocument/2006/relationships/hyperlink" Target="https://www.wwpdb.org/documentation/new-format-for-pdb-ids" TargetMode="External"/><Relationship Id="rId1" Type="http://schemas.openxmlformats.org/officeDocument/2006/relationships/hyperlink" Target="https://www.wwpdb.org/documentation/new-format-for-pdb-ids" TargetMode="External"/><Relationship Id="rId4" Type="http://schemas.openxmlformats.org/officeDocument/2006/relationships/hyperlink" Target="https://www.wwpdb.org/documentation/new-format-for-pdb-id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wpdb.org/documentation/new-format-for-pdb-ids" TargetMode="External"/><Relationship Id="rId2" Type="http://schemas.openxmlformats.org/officeDocument/2006/relationships/hyperlink" Target="https://www.wwpdb.org/documentation/new-format-for-pdb-ids" TargetMode="External"/><Relationship Id="rId1" Type="http://schemas.openxmlformats.org/officeDocument/2006/relationships/hyperlink" Target="https://www.wwpdb.org/documentation/new-format-for-pdb-ids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wwpdb.org/documentation/new-format-for-pdb-i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A8DB-0815-2549-8BEC-68EFE98185D3}">
  <dimension ref="A1:S37"/>
  <sheetViews>
    <sheetView workbookViewId="0">
      <selection activeCell="H3" sqref="H3:H6"/>
    </sheetView>
  </sheetViews>
  <sheetFormatPr baseColWidth="10" defaultRowHeight="16" x14ac:dyDescent="0.2"/>
  <cols>
    <col min="2" max="2" width="35.5" bestFit="1" customWidth="1"/>
    <col min="3" max="3" width="10" customWidth="1"/>
  </cols>
  <sheetData>
    <row r="1" spans="1:15" x14ac:dyDescent="0.2">
      <c r="A1" t="s">
        <v>18</v>
      </c>
    </row>
    <row r="2" spans="1:15" x14ac:dyDescent="0.2">
      <c r="A2" t="s">
        <v>0</v>
      </c>
      <c r="B2" t="s">
        <v>1</v>
      </c>
      <c r="C2" t="s">
        <v>3</v>
      </c>
      <c r="I2" t="s">
        <v>5</v>
      </c>
      <c r="O2" s="1" t="s">
        <v>71</v>
      </c>
    </row>
    <row r="3" spans="1:15" ht="28" customHeight="1" x14ac:dyDescent="0.2">
      <c r="C3" t="s">
        <v>2</v>
      </c>
      <c r="D3" t="s">
        <v>4</v>
      </c>
      <c r="F3" t="s">
        <v>4</v>
      </c>
      <c r="G3" t="s">
        <v>2</v>
      </c>
      <c r="H3" t="s">
        <v>4</v>
      </c>
      <c r="I3" t="s">
        <v>2</v>
      </c>
      <c r="J3" t="s">
        <v>4</v>
      </c>
      <c r="K3" t="s">
        <v>7</v>
      </c>
      <c r="L3" t="s">
        <v>4</v>
      </c>
      <c r="M3" t="s">
        <v>2</v>
      </c>
      <c r="N3" t="s">
        <v>4</v>
      </c>
    </row>
    <row r="4" spans="1:15" x14ac:dyDescent="0.2">
      <c r="B4" s="5" t="s">
        <v>28</v>
      </c>
      <c r="C4" s="5"/>
      <c r="D4" s="5"/>
      <c r="E4" s="5"/>
      <c r="F4" s="5"/>
      <c r="G4" s="5"/>
      <c r="H4" s="5"/>
      <c r="I4" s="5" t="s">
        <v>29</v>
      </c>
      <c r="J4" s="5"/>
      <c r="K4" s="5" t="s">
        <v>30</v>
      </c>
      <c r="L4" s="5" t="s">
        <v>31</v>
      </c>
      <c r="M4" s="5"/>
      <c r="N4" s="5">
        <v>-438</v>
      </c>
    </row>
    <row r="5" spans="1:15" s="6" customFormat="1" x14ac:dyDescent="0.2">
      <c r="A5" s="6" t="s">
        <v>8</v>
      </c>
      <c r="B5" s="6" t="s">
        <v>35</v>
      </c>
      <c r="C5" s="6" t="s">
        <v>38</v>
      </c>
      <c r="D5" s="6" t="s">
        <v>39</v>
      </c>
      <c r="F5" s="6" t="s">
        <v>40</v>
      </c>
      <c r="G5" s="6" t="s">
        <v>51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73</v>
      </c>
    </row>
    <row r="6" spans="1:15" s="6" customFormat="1" x14ac:dyDescent="0.2">
      <c r="B6" s="6" t="s">
        <v>16</v>
      </c>
      <c r="C6" s="6" t="s">
        <v>48</v>
      </c>
      <c r="D6" s="6" t="s">
        <v>49</v>
      </c>
      <c r="F6" s="6" t="s">
        <v>50</v>
      </c>
      <c r="G6" s="6" t="s">
        <v>52</v>
      </c>
      <c r="H6" s="6" t="s">
        <v>53</v>
      </c>
      <c r="I6" s="6" t="s">
        <v>54</v>
      </c>
      <c r="J6" s="6" t="s">
        <v>55</v>
      </c>
      <c r="K6" s="6" t="s">
        <v>56</v>
      </c>
      <c r="L6" s="6" t="s">
        <v>57</v>
      </c>
      <c r="M6" s="6" t="s">
        <v>58</v>
      </c>
      <c r="N6" s="6" t="s">
        <v>59</v>
      </c>
      <c r="O6" s="6" t="s">
        <v>74</v>
      </c>
    </row>
    <row r="7" spans="1:15" ht="28" customHeight="1" x14ac:dyDescent="0.2">
      <c r="C7" t="s">
        <v>2</v>
      </c>
      <c r="D7" t="s">
        <v>4</v>
      </c>
      <c r="F7" t="s">
        <v>4</v>
      </c>
      <c r="G7" t="s">
        <v>2</v>
      </c>
      <c r="H7" t="s">
        <v>4</v>
      </c>
      <c r="I7" t="s">
        <v>2</v>
      </c>
      <c r="J7" t="s">
        <v>4</v>
      </c>
      <c r="K7" t="s">
        <v>7</v>
      </c>
      <c r="L7" t="s">
        <v>4</v>
      </c>
      <c r="M7" t="s">
        <v>2</v>
      </c>
      <c r="N7" t="s">
        <v>4</v>
      </c>
    </row>
    <row r="8" spans="1:15" x14ac:dyDescent="0.2">
      <c r="B8" s="1" t="s">
        <v>28</v>
      </c>
      <c r="C8" s="1"/>
      <c r="D8" s="1"/>
      <c r="E8" s="1"/>
      <c r="F8" s="1"/>
      <c r="G8" s="1"/>
      <c r="H8" s="1"/>
      <c r="I8" s="1" t="s">
        <v>29</v>
      </c>
      <c r="J8" s="1"/>
      <c r="K8" s="1" t="s">
        <v>30</v>
      </c>
      <c r="L8" s="1" t="s">
        <v>31</v>
      </c>
      <c r="M8" s="1"/>
      <c r="N8" s="1">
        <v>-438</v>
      </c>
    </row>
    <row r="9" spans="1:15" s="6" customFormat="1" x14ac:dyDescent="0.2">
      <c r="A9" s="6" t="s">
        <v>8</v>
      </c>
      <c r="B9" s="7" t="s">
        <v>60</v>
      </c>
      <c r="C9" s="7" t="s">
        <v>61</v>
      </c>
      <c r="D9" s="7" t="s">
        <v>6</v>
      </c>
      <c r="E9" s="7"/>
      <c r="F9" s="7" t="s">
        <v>62</v>
      </c>
      <c r="G9" s="7" t="s">
        <v>63</v>
      </c>
      <c r="H9" s="7" t="s">
        <v>64</v>
      </c>
      <c r="I9" s="7" t="s">
        <v>65</v>
      </c>
      <c r="J9" s="7" t="s">
        <v>66</v>
      </c>
      <c r="K9" s="7" t="s">
        <v>67</v>
      </c>
      <c r="L9" s="7" t="s">
        <v>68</v>
      </c>
      <c r="M9" s="7" t="s">
        <v>69</v>
      </c>
      <c r="N9" s="7" t="s">
        <v>70</v>
      </c>
      <c r="O9" s="6" t="s">
        <v>72</v>
      </c>
    </row>
    <row r="10" spans="1:15" s="6" customFormat="1" x14ac:dyDescent="0.2">
      <c r="B10" s="7" t="s">
        <v>16</v>
      </c>
      <c r="C10" s="7" t="s">
        <v>76</v>
      </c>
      <c r="D10" s="7" t="s">
        <v>77</v>
      </c>
      <c r="E10" s="7"/>
      <c r="F10" s="7"/>
      <c r="G10" s="7"/>
      <c r="H10" s="7">
        <v>-778</v>
      </c>
      <c r="I10" s="7" t="s">
        <v>78</v>
      </c>
      <c r="J10" s="7"/>
      <c r="K10" s="7"/>
      <c r="L10" s="7"/>
      <c r="M10" s="7"/>
      <c r="N10" s="7">
        <v>-1394</v>
      </c>
      <c r="O10" s="6" t="s">
        <v>75</v>
      </c>
    </row>
    <row r="11" spans="1:15" x14ac:dyDescent="0.2">
      <c r="A11" t="s">
        <v>10</v>
      </c>
      <c r="B11" t="s">
        <v>37</v>
      </c>
      <c r="C11" t="s">
        <v>13</v>
      </c>
    </row>
    <row r="12" spans="1:15" x14ac:dyDescent="0.2">
      <c r="C12" t="s">
        <v>2</v>
      </c>
      <c r="D12" t="s">
        <v>4</v>
      </c>
      <c r="F12" t="s">
        <v>4</v>
      </c>
      <c r="G12" t="s">
        <v>2</v>
      </c>
      <c r="H12" t="s">
        <v>4</v>
      </c>
    </row>
    <row r="13" spans="1:15" s="6" customFormat="1" x14ac:dyDescent="0.2">
      <c r="C13" s="6" t="s">
        <v>89</v>
      </c>
      <c r="D13" s="6" t="s">
        <v>90</v>
      </c>
      <c r="F13" s="6" t="s">
        <v>91</v>
      </c>
      <c r="G13" s="6" t="s">
        <v>92</v>
      </c>
      <c r="H13" s="6" t="s">
        <v>17</v>
      </c>
    </row>
    <row r="14" spans="1:15" s="6" customFormat="1" x14ac:dyDescent="0.2">
      <c r="B14" s="6" t="s">
        <v>16</v>
      </c>
      <c r="C14" s="6" t="s">
        <v>102</v>
      </c>
      <c r="D14" s="6" t="s">
        <v>103</v>
      </c>
      <c r="F14" s="6" t="s">
        <v>104</v>
      </c>
      <c r="G14" s="6" t="s">
        <v>105</v>
      </c>
    </row>
    <row r="15" spans="1:15" x14ac:dyDescent="0.2">
      <c r="A15" t="s">
        <v>11</v>
      </c>
      <c r="C15" s="2" t="s">
        <v>14</v>
      </c>
    </row>
    <row r="16" spans="1:15" x14ac:dyDescent="0.2">
      <c r="C16" t="s">
        <v>2</v>
      </c>
      <c r="D16" t="s">
        <v>4</v>
      </c>
      <c r="E16" t="s">
        <v>7</v>
      </c>
      <c r="F16" t="s">
        <v>4</v>
      </c>
      <c r="G16" t="s">
        <v>2</v>
      </c>
      <c r="H16" t="s">
        <v>4</v>
      </c>
    </row>
    <row r="17" spans="1:19" x14ac:dyDescent="0.2">
      <c r="B17" s="5" t="s">
        <v>32</v>
      </c>
      <c r="C17" s="5" t="s">
        <v>33</v>
      </c>
      <c r="D17" s="5">
        <v>-125</v>
      </c>
      <c r="E17" s="5"/>
      <c r="F17" s="5" t="s">
        <v>34</v>
      </c>
      <c r="G17" s="5"/>
      <c r="H17" s="5">
        <v>-229</v>
      </c>
    </row>
    <row r="18" spans="1:19" s="6" customFormat="1" x14ac:dyDescent="0.2">
      <c r="C18" s="6" t="s">
        <v>93</v>
      </c>
      <c r="D18" s="6" t="s">
        <v>107</v>
      </c>
      <c r="E18" s="6" t="s">
        <v>94</v>
      </c>
      <c r="F18" s="6" t="s">
        <v>95</v>
      </c>
      <c r="G18" s="6" t="s">
        <v>96</v>
      </c>
      <c r="H18" s="6" t="s">
        <v>97</v>
      </c>
    </row>
    <row r="19" spans="1:19" s="6" customFormat="1" x14ac:dyDescent="0.2">
      <c r="C19" s="6" t="s">
        <v>106</v>
      </c>
      <c r="D19" s="6" t="s">
        <v>108</v>
      </c>
      <c r="E19" s="6" t="s">
        <v>109</v>
      </c>
      <c r="F19" s="6" t="s">
        <v>110</v>
      </c>
      <c r="G19" s="6" t="s">
        <v>111</v>
      </c>
      <c r="H19" s="6" t="s">
        <v>53</v>
      </c>
    </row>
    <row r="20" spans="1:19" x14ac:dyDescent="0.2">
      <c r="A20" t="s">
        <v>12</v>
      </c>
      <c r="B20" t="s">
        <v>36</v>
      </c>
      <c r="C20" t="s">
        <v>15</v>
      </c>
    </row>
    <row r="21" spans="1:19" x14ac:dyDescent="0.2">
      <c r="C21" t="s">
        <v>2</v>
      </c>
      <c r="D21" t="s">
        <v>4</v>
      </c>
      <c r="F21" t="s">
        <v>4</v>
      </c>
      <c r="G21" t="s">
        <v>2</v>
      </c>
      <c r="H21" t="s">
        <v>4</v>
      </c>
    </row>
    <row r="22" spans="1:19" x14ac:dyDescent="0.2">
      <c r="C22" t="s">
        <v>98</v>
      </c>
      <c r="D22" t="s">
        <v>99</v>
      </c>
      <c r="F22" t="s">
        <v>100</v>
      </c>
      <c r="G22" t="s">
        <v>101</v>
      </c>
    </row>
    <row r="23" spans="1:19" x14ac:dyDescent="0.2">
      <c r="C23" t="s">
        <v>112</v>
      </c>
      <c r="D23" t="s">
        <v>113</v>
      </c>
      <c r="F23" t="s">
        <v>114</v>
      </c>
      <c r="G23" t="s">
        <v>115</v>
      </c>
    </row>
    <row r="24" spans="1:19" x14ac:dyDescent="0.2">
      <c r="A24" t="s">
        <v>9</v>
      </c>
      <c r="B24" t="s">
        <v>79</v>
      </c>
      <c r="C24" t="s">
        <v>15</v>
      </c>
      <c r="O24" s="1" t="s">
        <v>71</v>
      </c>
    </row>
    <row r="25" spans="1:19" x14ac:dyDescent="0.2">
      <c r="C25" t="s">
        <v>2</v>
      </c>
      <c r="D25" t="s">
        <v>4</v>
      </c>
      <c r="F25" t="s">
        <v>4</v>
      </c>
      <c r="G25" t="s">
        <v>2</v>
      </c>
      <c r="H25" t="s">
        <v>4</v>
      </c>
      <c r="O25" t="s">
        <v>4</v>
      </c>
      <c r="P25" t="s">
        <v>2</v>
      </c>
      <c r="Q25" t="s">
        <v>4</v>
      </c>
      <c r="R25" t="s">
        <v>4</v>
      </c>
      <c r="S25" t="s">
        <v>2</v>
      </c>
    </row>
    <row r="26" spans="1:19" x14ac:dyDescent="0.2">
      <c r="C26" t="s">
        <v>85</v>
      </c>
      <c r="D26" t="s">
        <v>86</v>
      </c>
      <c r="F26" t="s">
        <v>39</v>
      </c>
      <c r="G26" t="s">
        <v>87</v>
      </c>
      <c r="H26" t="s">
        <v>88</v>
      </c>
      <c r="K26" s="3"/>
      <c r="O26" t="s">
        <v>80</v>
      </c>
      <c r="P26" t="s">
        <v>81</v>
      </c>
      <c r="Q26" t="s">
        <v>82</v>
      </c>
      <c r="R26" t="s">
        <v>83</v>
      </c>
      <c r="S26" t="s">
        <v>84</v>
      </c>
    </row>
    <row r="27" spans="1:19" x14ac:dyDescent="0.2">
      <c r="C27" t="s">
        <v>116</v>
      </c>
      <c r="H27">
        <v>-778</v>
      </c>
      <c r="O27">
        <v>219</v>
      </c>
      <c r="S27">
        <v>-367</v>
      </c>
    </row>
    <row r="32" spans="1:19" x14ac:dyDescent="0.2">
      <c r="A32" t="s">
        <v>19</v>
      </c>
    </row>
    <row r="33" spans="1:3" x14ac:dyDescent="0.2">
      <c r="A33" s="4" t="s">
        <v>20</v>
      </c>
      <c r="C33" t="s">
        <v>22</v>
      </c>
    </row>
    <row r="34" spans="1:3" x14ac:dyDescent="0.2">
      <c r="A34" s="4" t="s">
        <v>21</v>
      </c>
      <c r="C34" t="s">
        <v>23</v>
      </c>
    </row>
    <row r="35" spans="1:3" x14ac:dyDescent="0.2">
      <c r="A35" s="4" t="s">
        <v>24</v>
      </c>
      <c r="C35" t="s">
        <v>25</v>
      </c>
    </row>
    <row r="37" spans="1:3" x14ac:dyDescent="0.2">
      <c r="A37" s="4" t="s">
        <v>26</v>
      </c>
      <c r="C37" t="s">
        <v>27</v>
      </c>
    </row>
  </sheetData>
  <hyperlinks>
    <hyperlink ref="A33" r:id="rId1" display="https://www.wwpdb.org/documentation/new-format-for-pdb-ids" xr:uid="{313B6194-31B3-2D4A-BED9-97FED48C56BB}"/>
    <hyperlink ref="A34" r:id="rId2" display="https://www.wwpdb.org/documentation/new-format-for-pdb-ids" xr:uid="{09FA40BD-41BE-3E45-82C4-99C2E5394C56}"/>
    <hyperlink ref="A35" r:id="rId3" display="https://www.wwpdb.org/documentation/new-format-for-pdb-ids" xr:uid="{3A85AF78-8EB3-2B49-872D-F7A3FF5044ED}"/>
    <hyperlink ref="A37" r:id="rId4" display="https://www.wwpdb.org/documentation/new-format-for-pdb-ids" xr:uid="{078594FE-FF18-7646-BE06-F2D8FBEB422B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836D-E9DF-0642-B8FA-03537343B6DB}">
  <dimension ref="A1:Z38"/>
  <sheetViews>
    <sheetView workbookViewId="0">
      <selection activeCell="K1" sqref="K1:K1048576"/>
    </sheetView>
  </sheetViews>
  <sheetFormatPr baseColWidth="10" defaultRowHeight="16" x14ac:dyDescent="0.2"/>
  <cols>
    <col min="2" max="2" width="35.5" bestFit="1" customWidth="1"/>
    <col min="3" max="4" width="10" customWidth="1"/>
  </cols>
  <sheetData>
    <row r="1" spans="1:22" x14ac:dyDescent="0.2">
      <c r="A1" t="s">
        <v>18</v>
      </c>
    </row>
    <row r="2" spans="1:22" x14ac:dyDescent="0.2">
      <c r="A2" t="s">
        <v>0</v>
      </c>
      <c r="B2" t="s">
        <v>1</v>
      </c>
      <c r="C2" t="s">
        <v>3</v>
      </c>
      <c r="V2" s="1" t="s">
        <v>71</v>
      </c>
    </row>
    <row r="3" spans="1:22" ht="28" customHeight="1" x14ac:dyDescent="0.2">
      <c r="C3" t="s">
        <v>2</v>
      </c>
      <c r="E3" t="s">
        <v>4</v>
      </c>
      <c r="G3" t="s">
        <v>4</v>
      </c>
      <c r="I3" t="s">
        <v>2</v>
      </c>
      <c r="M3" t="s">
        <v>4</v>
      </c>
      <c r="O3" t="s">
        <v>7</v>
      </c>
      <c r="Q3" t="s">
        <v>4</v>
      </c>
      <c r="S3" t="s">
        <v>2</v>
      </c>
      <c r="U3" t="s">
        <v>4</v>
      </c>
    </row>
    <row r="4" spans="1:22" x14ac:dyDescent="0.2">
      <c r="B4" s="5" t="s">
        <v>28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 t="s">
        <v>30</v>
      </c>
      <c r="P4" s="5"/>
      <c r="Q4" s="5" t="s">
        <v>31</v>
      </c>
      <c r="R4" s="5"/>
      <c r="S4" s="5"/>
      <c r="T4" s="5"/>
      <c r="U4" s="5">
        <v>-438</v>
      </c>
    </row>
    <row r="5" spans="1:22" s="6" customFormat="1" x14ac:dyDescent="0.2">
      <c r="A5" s="6" t="s">
        <v>8</v>
      </c>
      <c r="B5" s="6" t="s">
        <v>35</v>
      </c>
      <c r="C5" s="6" t="s">
        <v>38</v>
      </c>
      <c r="E5" s="6" t="s">
        <v>39</v>
      </c>
      <c r="G5" s="6" t="s">
        <v>40</v>
      </c>
      <c r="I5" s="6" t="s">
        <v>51</v>
      </c>
      <c r="M5" s="6" t="s">
        <v>43</v>
      </c>
      <c r="O5" s="6" t="s">
        <v>44</v>
      </c>
      <c r="Q5" s="6" t="s">
        <v>45</v>
      </c>
      <c r="S5" s="6" t="s">
        <v>46</v>
      </c>
      <c r="U5" s="6" t="s">
        <v>47</v>
      </c>
      <c r="V5" s="6" t="s">
        <v>73</v>
      </c>
    </row>
    <row r="6" spans="1:22" s="6" customFormat="1" x14ac:dyDescent="0.2">
      <c r="B6" s="6" t="s">
        <v>16</v>
      </c>
      <c r="C6" s="6">
        <v>418</v>
      </c>
      <c r="D6" s="6">
        <v>469</v>
      </c>
      <c r="E6" s="6">
        <v>502</v>
      </c>
      <c r="F6" s="6">
        <v>533</v>
      </c>
      <c r="G6" s="6">
        <v>607</v>
      </c>
      <c r="H6" s="6">
        <v>620</v>
      </c>
      <c r="I6" s="6">
        <v>743</v>
      </c>
      <c r="J6" s="6">
        <v>756</v>
      </c>
      <c r="M6" s="6" t="s">
        <v>117</v>
      </c>
      <c r="N6" s="6">
        <v>930</v>
      </c>
      <c r="O6" s="6" t="s">
        <v>56</v>
      </c>
      <c r="Q6" s="6" t="s">
        <v>57</v>
      </c>
      <c r="S6" s="6" t="s">
        <v>58</v>
      </c>
      <c r="U6" s="6" t="s">
        <v>59</v>
      </c>
      <c r="V6" s="6" t="s">
        <v>74</v>
      </c>
    </row>
    <row r="7" spans="1:22" s="6" customFormat="1" x14ac:dyDescent="0.2"/>
    <row r="8" spans="1:22" ht="28" customHeight="1" x14ac:dyDescent="0.2">
      <c r="C8" t="s">
        <v>2</v>
      </c>
      <c r="E8" t="s">
        <v>4</v>
      </c>
      <c r="G8" t="s">
        <v>4</v>
      </c>
      <c r="I8" t="s">
        <v>2</v>
      </c>
      <c r="M8" t="s">
        <v>4</v>
      </c>
      <c r="O8" t="s">
        <v>7</v>
      </c>
      <c r="Q8" t="s">
        <v>4</v>
      </c>
      <c r="S8" t="s">
        <v>2</v>
      </c>
      <c r="U8" t="s">
        <v>4</v>
      </c>
    </row>
    <row r="9" spans="1:22" x14ac:dyDescent="0.2">
      <c r="B9" s="1" t="s">
        <v>28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 t="s">
        <v>30</v>
      </c>
      <c r="P9" s="1"/>
      <c r="Q9" s="1" t="s">
        <v>31</v>
      </c>
      <c r="R9" s="1"/>
      <c r="S9" s="1"/>
      <c r="T9" s="1"/>
      <c r="U9" s="1">
        <v>-438</v>
      </c>
    </row>
    <row r="10" spans="1:22" s="6" customFormat="1" x14ac:dyDescent="0.2">
      <c r="A10" s="6" t="s">
        <v>8</v>
      </c>
      <c r="B10" s="7" t="s">
        <v>60</v>
      </c>
      <c r="C10" s="7" t="s">
        <v>61</v>
      </c>
      <c r="D10" s="7"/>
      <c r="E10" s="7" t="s">
        <v>6</v>
      </c>
      <c r="F10" s="7"/>
      <c r="G10" s="7" t="s">
        <v>62</v>
      </c>
      <c r="H10" s="7"/>
      <c r="I10" s="7" t="s">
        <v>63</v>
      </c>
      <c r="J10" s="7"/>
      <c r="K10" s="7"/>
      <c r="L10" s="7"/>
      <c r="M10" s="7" t="s">
        <v>66</v>
      </c>
      <c r="N10" s="7"/>
      <c r="O10" s="7" t="s">
        <v>67</v>
      </c>
      <c r="P10" s="7"/>
      <c r="Q10" s="7" t="s">
        <v>68</v>
      </c>
      <c r="R10" s="7"/>
      <c r="S10" s="7" t="s">
        <v>69</v>
      </c>
      <c r="T10" s="7"/>
      <c r="U10" s="7" t="s">
        <v>70</v>
      </c>
      <c r="V10" s="6" t="s">
        <v>72</v>
      </c>
    </row>
    <row r="11" spans="1:22" s="6" customFormat="1" x14ac:dyDescent="0.2">
      <c r="B11" s="7" t="s">
        <v>16</v>
      </c>
      <c r="C11" s="7" t="s">
        <v>76</v>
      </c>
      <c r="D11" s="7"/>
      <c r="E11" s="7" t="s">
        <v>77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>
        <v>-1394</v>
      </c>
      <c r="V11" s="6" t="s">
        <v>75</v>
      </c>
    </row>
    <row r="12" spans="1:22" x14ac:dyDescent="0.2">
      <c r="A12" t="s">
        <v>10</v>
      </c>
      <c r="B12" t="s">
        <v>37</v>
      </c>
      <c r="C12" t="s">
        <v>13</v>
      </c>
    </row>
    <row r="13" spans="1:22" x14ac:dyDescent="0.2">
      <c r="C13" t="s">
        <v>2</v>
      </c>
      <c r="E13" t="s">
        <v>4</v>
      </c>
      <c r="G13" t="s">
        <v>4</v>
      </c>
      <c r="I13" t="s">
        <v>2</v>
      </c>
    </row>
    <row r="14" spans="1:22" s="6" customFormat="1" x14ac:dyDescent="0.2">
      <c r="C14" s="6" t="s">
        <v>89</v>
      </c>
      <c r="E14" s="6" t="s">
        <v>90</v>
      </c>
      <c r="G14" s="6" t="s">
        <v>91</v>
      </c>
      <c r="I14" s="6" t="s">
        <v>92</v>
      </c>
    </row>
    <row r="15" spans="1:22" s="6" customFormat="1" x14ac:dyDescent="0.2">
      <c r="B15" s="6" t="s">
        <v>16</v>
      </c>
      <c r="C15" s="6" t="s">
        <v>102</v>
      </c>
      <c r="E15" s="6" t="s">
        <v>103</v>
      </c>
      <c r="G15" s="6" t="s">
        <v>104</v>
      </c>
      <c r="I15" s="6" t="s">
        <v>105</v>
      </c>
    </row>
    <row r="16" spans="1:22" x14ac:dyDescent="0.2">
      <c r="A16" t="s">
        <v>11</v>
      </c>
      <c r="C16" s="2" t="s">
        <v>14</v>
      </c>
      <c r="D16" s="2"/>
    </row>
    <row r="17" spans="1:26" x14ac:dyDescent="0.2">
      <c r="C17" t="s">
        <v>2</v>
      </c>
      <c r="E17" t="s">
        <v>4</v>
      </c>
      <c r="F17" t="s">
        <v>7</v>
      </c>
      <c r="G17" t="s">
        <v>4</v>
      </c>
      <c r="I17" t="s">
        <v>2</v>
      </c>
    </row>
    <row r="18" spans="1:26" x14ac:dyDescent="0.2">
      <c r="B18" s="5" t="s">
        <v>32</v>
      </c>
      <c r="C18" s="5" t="s">
        <v>33</v>
      </c>
      <c r="D18" s="5"/>
      <c r="E18" s="5">
        <v>-125</v>
      </c>
      <c r="F18" s="5"/>
      <c r="G18" s="5" t="s">
        <v>34</v>
      </c>
      <c r="H18" s="5"/>
      <c r="I18" s="5"/>
      <c r="J18" s="5"/>
      <c r="K18" s="5"/>
      <c r="L18" s="5"/>
    </row>
    <row r="19" spans="1:26" s="6" customFormat="1" x14ac:dyDescent="0.2">
      <c r="C19" s="6" t="s">
        <v>93</v>
      </c>
      <c r="E19" s="6" t="s">
        <v>107</v>
      </c>
      <c r="F19" s="6" t="s">
        <v>94</v>
      </c>
      <c r="G19" s="6" t="s">
        <v>95</v>
      </c>
      <c r="I19" s="6" t="s">
        <v>96</v>
      </c>
    </row>
    <row r="20" spans="1:26" s="6" customFormat="1" x14ac:dyDescent="0.2">
      <c r="C20" s="6" t="s">
        <v>106</v>
      </c>
      <c r="E20" s="6" t="s">
        <v>108</v>
      </c>
      <c r="F20" s="6" t="s">
        <v>109</v>
      </c>
      <c r="G20" s="6" t="s">
        <v>110</v>
      </c>
      <c r="I20" s="6" t="s">
        <v>111</v>
      </c>
    </row>
    <row r="21" spans="1:26" x14ac:dyDescent="0.2">
      <c r="A21" t="s">
        <v>12</v>
      </c>
      <c r="B21" t="s">
        <v>36</v>
      </c>
      <c r="C21" t="s">
        <v>15</v>
      </c>
    </row>
    <row r="22" spans="1:26" x14ac:dyDescent="0.2">
      <c r="C22" t="s">
        <v>2</v>
      </c>
      <c r="E22" t="s">
        <v>4</v>
      </c>
      <c r="G22" t="s">
        <v>4</v>
      </c>
      <c r="I22" t="s">
        <v>2</v>
      </c>
    </row>
    <row r="23" spans="1:26" x14ac:dyDescent="0.2">
      <c r="C23" t="s">
        <v>98</v>
      </c>
      <c r="E23" t="s">
        <v>99</v>
      </c>
      <c r="G23" t="s">
        <v>100</v>
      </c>
      <c r="I23" t="s">
        <v>101</v>
      </c>
    </row>
    <row r="24" spans="1:26" x14ac:dyDescent="0.2">
      <c r="C24" t="s">
        <v>112</v>
      </c>
      <c r="E24" t="s">
        <v>113</v>
      </c>
      <c r="G24" t="s">
        <v>114</v>
      </c>
      <c r="I24" t="s">
        <v>115</v>
      </c>
    </row>
    <row r="25" spans="1:26" x14ac:dyDescent="0.2">
      <c r="A25" t="s">
        <v>9</v>
      </c>
      <c r="B25" t="s">
        <v>79</v>
      </c>
      <c r="C25" t="s">
        <v>15</v>
      </c>
      <c r="V25" s="1" t="s">
        <v>71</v>
      </c>
    </row>
    <row r="26" spans="1:26" x14ac:dyDescent="0.2">
      <c r="C26" t="s">
        <v>2</v>
      </c>
      <c r="E26" t="s">
        <v>4</v>
      </c>
      <c r="G26" t="s">
        <v>4</v>
      </c>
      <c r="I26" t="s">
        <v>2</v>
      </c>
      <c r="V26" t="s">
        <v>4</v>
      </c>
      <c r="W26" t="s">
        <v>2</v>
      </c>
      <c r="X26" t="s">
        <v>4</v>
      </c>
      <c r="Y26" t="s">
        <v>4</v>
      </c>
      <c r="Z26" t="s">
        <v>2</v>
      </c>
    </row>
    <row r="27" spans="1:26" x14ac:dyDescent="0.2">
      <c r="C27" t="s">
        <v>85</v>
      </c>
      <c r="E27" t="s">
        <v>86</v>
      </c>
      <c r="G27" t="s">
        <v>39</v>
      </c>
      <c r="I27" t="s">
        <v>87</v>
      </c>
      <c r="O27" s="3"/>
      <c r="P27" s="3"/>
      <c r="V27" t="s">
        <v>80</v>
      </c>
      <c r="W27" t="s">
        <v>81</v>
      </c>
      <c r="X27" t="s">
        <v>82</v>
      </c>
      <c r="Y27" t="s">
        <v>83</v>
      </c>
      <c r="Z27" t="s">
        <v>84</v>
      </c>
    </row>
    <row r="28" spans="1:26" x14ac:dyDescent="0.2">
      <c r="C28" t="s">
        <v>116</v>
      </c>
      <c r="V28">
        <v>219</v>
      </c>
      <c r="Z28">
        <v>-367</v>
      </c>
    </row>
    <row r="33" spans="1:3" x14ac:dyDescent="0.2">
      <c r="A33" t="s">
        <v>19</v>
      </c>
    </row>
    <row r="34" spans="1:3" x14ac:dyDescent="0.2">
      <c r="A34" s="4" t="s">
        <v>20</v>
      </c>
      <c r="C34" t="s">
        <v>22</v>
      </c>
    </row>
    <row r="35" spans="1:3" x14ac:dyDescent="0.2">
      <c r="A35" s="4" t="s">
        <v>21</v>
      </c>
      <c r="C35" t="s">
        <v>23</v>
      </c>
    </row>
    <row r="36" spans="1:3" x14ac:dyDescent="0.2">
      <c r="A36" s="4" t="s">
        <v>24</v>
      </c>
      <c r="C36" t="s">
        <v>25</v>
      </c>
    </row>
    <row r="38" spans="1:3" x14ac:dyDescent="0.2">
      <c r="A38" s="4" t="s">
        <v>26</v>
      </c>
      <c r="C38" t="s">
        <v>27</v>
      </c>
    </row>
  </sheetData>
  <hyperlinks>
    <hyperlink ref="A34" r:id="rId1" display="https://www.wwpdb.org/documentation/new-format-for-pdb-ids" xr:uid="{85B60DDF-97ED-1249-A225-C1095587AFDC}"/>
    <hyperlink ref="A35" r:id="rId2" display="https://www.wwpdb.org/documentation/new-format-for-pdb-ids" xr:uid="{E83398D2-88C5-1D42-B55B-524B38BBE441}"/>
    <hyperlink ref="A36" r:id="rId3" display="https://www.wwpdb.org/documentation/new-format-for-pdb-ids" xr:uid="{0BB72AC3-F3C3-A246-A7E9-57C9D5DF8D44}"/>
    <hyperlink ref="A38" r:id="rId4" display="https://www.wwpdb.org/documentation/new-format-for-pdb-ids" xr:uid="{BEAB0DE1-A2A9-1742-BB11-F46B39C712DC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F33F-15CB-D248-AB8C-3E0555F83CB8}">
  <dimension ref="A1:AC40"/>
  <sheetViews>
    <sheetView tabSelected="1" topLeftCell="A7" workbookViewId="0">
      <selection activeCell="E4" sqref="E4"/>
    </sheetView>
  </sheetViews>
  <sheetFormatPr baseColWidth="10" defaultRowHeight="16" x14ac:dyDescent="0.2"/>
  <cols>
    <col min="2" max="2" width="35.5" bestFit="1" customWidth="1"/>
    <col min="3" max="4" width="10.83203125" customWidth="1"/>
    <col min="15" max="29" width="11.83203125" customWidth="1"/>
  </cols>
  <sheetData>
    <row r="1" spans="1:29" x14ac:dyDescent="0.2">
      <c r="A1" t="s">
        <v>18</v>
      </c>
    </row>
    <row r="2" spans="1:29" x14ac:dyDescent="0.2">
      <c r="A2" t="s">
        <v>118</v>
      </c>
      <c r="B2" t="s">
        <v>119</v>
      </c>
      <c r="C2" t="s">
        <v>120</v>
      </c>
      <c r="D2" t="s">
        <v>139</v>
      </c>
      <c r="E2" t="s">
        <v>121</v>
      </c>
      <c r="F2" t="s">
        <v>122</v>
      </c>
      <c r="G2" t="s">
        <v>123</v>
      </c>
      <c r="H2" t="s">
        <v>140</v>
      </c>
      <c r="I2" t="s">
        <v>124</v>
      </c>
      <c r="J2" t="s">
        <v>141</v>
      </c>
      <c r="K2" t="s">
        <v>125</v>
      </c>
      <c r="L2" t="s">
        <v>142</v>
      </c>
      <c r="M2" t="s">
        <v>126</v>
      </c>
      <c r="N2" t="s">
        <v>143</v>
      </c>
      <c r="O2" t="s">
        <v>127</v>
      </c>
      <c r="P2" t="s">
        <v>144</v>
      </c>
      <c r="Q2" t="s">
        <v>128</v>
      </c>
      <c r="R2" t="s">
        <v>145</v>
      </c>
      <c r="S2" t="s">
        <v>129</v>
      </c>
      <c r="T2" t="s">
        <v>146</v>
      </c>
      <c r="U2" t="s">
        <v>130</v>
      </c>
      <c r="V2" t="s">
        <v>147</v>
      </c>
      <c r="W2" t="s">
        <v>131</v>
      </c>
      <c r="X2" t="s">
        <v>148</v>
      </c>
      <c r="Y2" s="1" t="s">
        <v>132</v>
      </c>
      <c r="Z2" t="s">
        <v>133</v>
      </c>
      <c r="AA2" t="s">
        <v>134</v>
      </c>
      <c r="AB2" t="s">
        <v>135</v>
      </c>
      <c r="AC2" t="s">
        <v>136</v>
      </c>
    </row>
    <row r="3" spans="1:29" ht="20" customHeight="1" x14ac:dyDescent="0.2">
      <c r="A3" t="s">
        <v>0</v>
      </c>
      <c r="B3" t="s">
        <v>1</v>
      </c>
      <c r="C3" s="8" t="s">
        <v>137</v>
      </c>
      <c r="D3" s="8"/>
      <c r="E3" s="8"/>
      <c r="F3" s="8"/>
      <c r="G3" s="8"/>
      <c r="H3" s="8"/>
      <c r="I3" s="8"/>
      <c r="J3" s="8"/>
      <c r="K3" s="8"/>
      <c r="L3" s="8"/>
      <c r="M3" s="8" t="s">
        <v>138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 t="s">
        <v>71</v>
      </c>
    </row>
    <row r="4" spans="1:29" x14ac:dyDescent="0.2">
      <c r="C4" s="10" t="s">
        <v>2</v>
      </c>
      <c r="D4" s="9"/>
      <c r="E4" s="10" t="s">
        <v>4</v>
      </c>
      <c r="F4" s="9"/>
      <c r="G4" s="9" t="s">
        <v>4</v>
      </c>
      <c r="H4" s="9"/>
      <c r="I4" s="9" t="s">
        <v>2</v>
      </c>
      <c r="J4" s="9"/>
      <c r="K4" s="9" t="s">
        <v>4</v>
      </c>
      <c r="L4" s="9"/>
      <c r="M4" s="9" t="s">
        <v>2</v>
      </c>
      <c r="N4" s="9"/>
      <c r="O4" s="9" t="s">
        <v>4</v>
      </c>
      <c r="P4" s="9"/>
      <c r="Q4" s="9" t="s">
        <v>7</v>
      </c>
      <c r="R4" s="9"/>
      <c r="S4" s="9" t="s">
        <v>4</v>
      </c>
      <c r="T4" s="9"/>
      <c r="U4" s="9" t="s">
        <v>2</v>
      </c>
      <c r="V4" s="9"/>
      <c r="W4" s="9" t="s">
        <v>4</v>
      </c>
      <c r="X4" s="9"/>
      <c r="Y4" s="8"/>
    </row>
    <row r="5" spans="1:29" x14ac:dyDescent="0.2">
      <c r="B5" t="s">
        <v>28</v>
      </c>
      <c r="M5" t="s">
        <v>29</v>
      </c>
      <c r="Q5" t="s">
        <v>30</v>
      </c>
      <c r="S5" t="s">
        <v>31</v>
      </c>
      <c r="W5">
        <v>-438</v>
      </c>
    </row>
    <row r="6" spans="1:29" x14ac:dyDescent="0.2">
      <c r="A6" t="s">
        <v>8</v>
      </c>
      <c r="B6" t="s">
        <v>35</v>
      </c>
      <c r="C6">
        <v>125</v>
      </c>
      <c r="D6">
        <v>144</v>
      </c>
      <c r="E6">
        <v>150</v>
      </c>
      <c r="F6">
        <v>158</v>
      </c>
      <c r="G6">
        <v>174</v>
      </c>
      <c r="H6">
        <v>181</v>
      </c>
      <c r="I6">
        <v>189</v>
      </c>
      <c r="J6">
        <v>202</v>
      </c>
      <c r="K6">
        <v>211</v>
      </c>
      <c r="L6">
        <v>215</v>
      </c>
      <c r="M6">
        <v>236</v>
      </c>
      <c r="N6">
        <v>262</v>
      </c>
      <c r="O6">
        <v>267</v>
      </c>
      <c r="P6">
        <v>276</v>
      </c>
      <c r="Q6">
        <v>281</v>
      </c>
      <c r="R6">
        <v>362</v>
      </c>
      <c r="S6">
        <v>367</v>
      </c>
      <c r="T6">
        <v>377</v>
      </c>
      <c r="U6">
        <v>388</v>
      </c>
      <c r="V6">
        <v>405</v>
      </c>
      <c r="W6">
        <v>423</v>
      </c>
      <c r="X6">
        <v>427</v>
      </c>
      <c r="Y6" t="s">
        <v>73</v>
      </c>
    </row>
    <row r="7" spans="1:29" ht="28" customHeight="1" x14ac:dyDescent="0.2">
      <c r="B7" t="s">
        <v>16</v>
      </c>
      <c r="C7">
        <v>418</v>
      </c>
      <c r="D7">
        <v>469</v>
      </c>
      <c r="E7">
        <v>502</v>
      </c>
      <c r="F7">
        <v>533</v>
      </c>
      <c r="G7">
        <v>607</v>
      </c>
      <c r="H7">
        <v>620</v>
      </c>
      <c r="I7">
        <v>743</v>
      </c>
      <c r="J7">
        <v>756</v>
      </c>
      <c r="K7">
        <v>774</v>
      </c>
      <c r="L7">
        <v>778</v>
      </c>
      <c r="M7">
        <v>845</v>
      </c>
      <c r="N7">
        <v>898</v>
      </c>
      <c r="O7">
        <v>921</v>
      </c>
      <c r="P7">
        <v>930</v>
      </c>
      <c r="Q7">
        <v>940</v>
      </c>
      <c r="R7">
        <v>1199</v>
      </c>
      <c r="S7">
        <v>1223</v>
      </c>
      <c r="T7">
        <v>1233</v>
      </c>
      <c r="U7">
        <v>1334</v>
      </c>
      <c r="V7">
        <v>1350</v>
      </c>
      <c r="W7">
        <v>1387</v>
      </c>
      <c r="X7">
        <v>1391</v>
      </c>
      <c r="Y7" t="s">
        <v>74</v>
      </c>
    </row>
    <row r="8" spans="1:29" ht="28" customHeight="1" x14ac:dyDescent="0.2">
      <c r="B8" t="s">
        <v>150</v>
      </c>
      <c r="C8">
        <f>C6-124</f>
        <v>1</v>
      </c>
      <c r="D8">
        <f t="shared" ref="D8:L8" si="0">D6-124</f>
        <v>20</v>
      </c>
      <c r="E8">
        <f t="shared" si="0"/>
        <v>26</v>
      </c>
      <c r="F8">
        <f t="shared" si="0"/>
        <v>34</v>
      </c>
      <c r="G8">
        <f t="shared" si="0"/>
        <v>50</v>
      </c>
      <c r="H8">
        <f t="shared" si="0"/>
        <v>57</v>
      </c>
      <c r="I8">
        <f t="shared" si="0"/>
        <v>65</v>
      </c>
      <c r="J8">
        <f t="shared" si="0"/>
        <v>78</v>
      </c>
      <c r="K8">
        <f t="shared" si="0"/>
        <v>87</v>
      </c>
      <c r="L8">
        <f t="shared" si="0"/>
        <v>91</v>
      </c>
      <c r="M8">
        <f>M6-235</f>
        <v>1</v>
      </c>
      <c r="N8">
        <f t="shared" ref="N8:X8" si="1">N6-235</f>
        <v>27</v>
      </c>
      <c r="O8">
        <f t="shared" si="1"/>
        <v>32</v>
      </c>
      <c r="P8">
        <f t="shared" si="1"/>
        <v>41</v>
      </c>
      <c r="Q8">
        <f t="shared" si="1"/>
        <v>46</v>
      </c>
      <c r="R8">
        <f t="shared" si="1"/>
        <v>127</v>
      </c>
      <c r="S8">
        <f t="shared" si="1"/>
        <v>132</v>
      </c>
      <c r="T8">
        <f t="shared" si="1"/>
        <v>142</v>
      </c>
      <c r="U8">
        <f t="shared" si="1"/>
        <v>153</v>
      </c>
      <c r="V8">
        <f t="shared" si="1"/>
        <v>170</v>
      </c>
      <c r="W8">
        <f t="shared" si="1"/>
        <v>188</v>
      </c>
      <c r="X8">
        <f t="shared" si="1"/>
        <v>192</v>
      </c>
    </row>
    <row r="9" spans="1:29" ht="28" customHeight="1" x14ac:dyDescent="0.2">
      <c r="B9" t="s">
        <v>149</v>
      </c>
      <c r="C9">
        <f>C8+71</f>
        <v>72</v>
      </c>
      <c r="D9">
        <f>D8+71</f>
        <v>91</v>
      </c>
      <c r="E9">
        <f t="shared" ref="E9:L9" si="2">E8+71</f>
        <v>97</v>
      </c>
      <c r="F9">
        <f t="shared" si="2"/>
        <v>105</v>
      </c>
      <c r="G9">
        <f t="shared" si="2"/>
        <v>121</v>
      </c>
      <c r="H9">
        <f t="shared" si="2"/>
        <v>128</v>
      </c>
      <c r="I9">
        <f t="shared" si="2"/>
        <v>136</v>
      </c>
      <c r="J9">
        <f t="shared" si="2"/>
        <v>149</v>
      </c>
      <c r="K9">
        <f t="shared" si="2"/>
        <v>158</v>
      </c>
      <c r="L9">
        <f t="shared" si="2"/>
        <v>162</v>
      </c>
      <c r="M9">
        <f>M8+162</f>
        <v>163</v>
      </c>
      <c r="N9">
        <f t="shared" ref="N9:X9" si="3">N8+162</f>
        <v>189</v>
      </c>
      <c r="O9">
        <f t="shared" si="3"/>
        <v>194</v>
      </c>
      <c r="P9">
        <f t="shared" si="3"/>
        <v>203</v>
      </c>
      <c r="Q9">
        <f t="shared" si="3"/>
        <v>208</v>
      </c>
      <c r="R9">
        <f t="shared" si="3"/>
        <v>289</v>
      </c>
      <c r="S9">
        <f t="shared" si="3"/>
        <v>294</v>
      </c>
      <c r="T9">
        <f t="shared" si="3"/>
        <v>304</v>
      </c>
      <c r="U9">
        <f t="shared" si="3"/>
        <v>315</v>
      </c>
      <c r="V9">
        <f t="shared" si="3"/>
        <v>332</v>
      </c>
      <c r="W9">
        <f t="shared" si="3"/>
        <v>350</v>
      </c>
      <c r="X9">
        <f t="shared" si="3"/>
        <v>354</v>
      </c>
    </row>
    <row r="10" spans="1:29" ht="28" customHeight="1" x14ac:dyDescent="0.2">
      <c r="B10" s="5" t="s">
        <v>151</v>
      </c>
      <c r="C10" s="5">
        <v>329</v>
      </c>
      <c r="D10" s="5">
        <v>348</v>
      </c>
      <c r="E10" s="5">
        <v>364</v>
      </c>
      <c r="F10" s="5">
        <v>375</v>
      </c>
      <c r="G10" s="5">
        <v>415</v>
      </c>
      <c r="H10" s="5">
        <v>424</v>
      </c>
      <c r="I10" s="5">
        <v>552</v>
      </c>
      <c r="J10" s="5">
        <v>565</v>
      </c>
      <c r="K10" s="5">
        <v>581</v>
      </c>
      <c r="L10" s="5">
        <v>585</v>
      </c>
      <c r="M10" s="5">
        <v>675</v>
      </c>
      <c r="N10" s="5">
        <v>720</v>
      </c>
      <c r="O10" s="5">
        <v>727</v>
      </c>
      <c r="P10" s="5">
        <v>739</v>
      </c>
      <c r="Q10" s="5">
        <v>745</v>
      </c>
      <c r="R10" s="5">
        <v>933</v>
      </c>
      <c r="S10" s="5">
        <v>942</v>
      </c>
      <c r="T10" s="5">
        <v>952</v>
      </c>
      <c r="U10" s="5">
        <v>1041</v>
      </c>
      <c r="V10" s="5">
        <v>1066</v>
      </c>
      <c r="W10" s="5">
        <v>1095</v>
      </c>
      <c r="X10" s="5">
        <v>1099</v>
      </c>
    </row>
    <row r="11" spans="1:29" x14ac:dyDescent="0.2">
      <c r="C11" s="8" t="s">
        <v>2</v>
      </c>
      <c r="D11" s="8"/>
      <c r="E11" s="8" t="s">
        <v>4</v>
      </c>
      <c r="F11" s="8"/>
      <c r="G11" s="8" t="s">
        <v>4</v>
      </c>
      <c r="H11" s="8"/>
      <c r="I11" s="8" t="s">
        <v>2</v>
      </c>
      <c r="J11" s="8"/>
      <c r="K11" s="8" t="s">
        <v>4</v>
      </c>
      <c r="L11" s="8"/>
      <c r="M11" s="8" t="s">
        <v>2</v>
      </c>
      <c r="N11" s="8"/>
      <c r="O11" s="8" t="s">
        <v>4</v>
      </c>
      <c r="P11" s="8"/>
      <c r="Q11" s="8" t="s">
        <v>7</v>
      </c>
      <c r="R11" s="8"/>
      <c r="S11" s="8" t="s">
        <v>4</v>
      </c>
      <c r="T11" s="8"/>
      <c r="U11" s="8" t="s">
        <v>2</v>
      </c>
      <c r="V11" s="8"/>
      <c r="W11" s="8" t="s">
        <v>4</v>
      </c>
      <c r="X11" s="8"/>
      <c r="Y11" s="8"/>
    </row>
    <row r="12" spans="1:29" x14ac:dyDescent="0.2">
      <c r="B12" s="1" t="s">
        <v>28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 t="s">
        <v>30</v>
      </c>
      <c r="R12" s="1"/>
      <c r="S12" s="1" t="s">
        <v>31</v>
      </c>
      <c r="T12" s="1"/>
      <c r="U12" s="1"/>
      <c r="V12" s="1"/>
      <c r="W12" s="1">
        <v>-438</v>
      </c>
      <c r="X12" s="1"/>
    </row>
    <row r="13" spans="1:29" x14ac:dyDescent="0.2">
      <c r="A13" t="s">
        <v>8</v>
      </c>
      <c r="B13" s="1" t="s">
        <v>60</v>
      </c>
      <c r="C13" s="1" t="s">
        <v>61</v>
      </c>
      <c r="D13" s="1"/>
      <c r="E13" s="1" t="s">
        <v>6</v>
      </c>
      <c r="F13" s="1"/>
      <c r="G13" s="1" t="s">
        <v>62</v>
      </c>
      <c r="H13" s="1"/>
      <c r="I13" s="1" t="s">
        <v>63</v>
      </c>
      <c r="J13" s="1"/>
      <c r="K13" s="1" t="s">
        <v>64</v>
      </c>
      <c r="L13" s="1"/>
      <c r="M13" s="1" t="s">
        <v>65</v>
      </c>
      <c r="N13" s="1"/>
      <c r="O13" s="1" t="s">
        <v>66</v>
      </c>
      <c r="P13" s="1"/>
      <c r="Q13" s="1" t="s">
        <v>67</v>
      </c>
      <c r="R13" s="1"/>
      <c r="S13" s="1" t="s">
        <v>68</v>
      </c>
      <c r="T13" s="1"/>
      <c r="U13" s="1" t="s">
        <v>69</v>
      </c>
      <c r="V13" s="1"/>
      <c r="W13" s="1" t="s">
        <v>70</v>
      </c>
      <c r="X13" s="1"/>
      <c r="Y13" t="s">
        <v>72</v>
      </c>
    </row>
    <row r="14" spans="1:29" x14ac:dyDescent="0.2">
      <c r="B14" s="1" t="s">
        <v>16</v>
      </c>
      <c r="C14" s="1" t="s">
        <v>76</v>
      </c>
      <c r="D14" s="1"/>
      <c r="E14" s="1" t="s">
        <v>77</v>
      </c>
      <c r="F14" s="1"/>
      <c r="G14" s="1"/>
      <c r="H14" s="1"/>
      <c r="I14" s="1"/>
      <c r="J14" s="1"/>
      <c r="K14" s="1">
        <v>-778</v>
      </c>
      <c r="L14" s="1"/>
      <c r="M14" s="1" t="s">
        <v>78</v>
      </c>
      <c r="N14" s="1"/>
      <c r="O14" s="1"/>
      <c r="P14" s="1"/>
      <c r="Q14" s="1"/>
      <c r="R14" s="1"/>
      <c r="S14" s="1"/>
      <c r="T14" s="1"/>
      <c r="U14" s="1"/>
      <c r="V14" s="1"/>
      <c r="W14" s="1">
        <v>-1394</v>
      </c>
      <c r="X14" s="1"/>
      <c r="Y14" t="s">
        <v>75</v>
      </c>
    </row>
    <row r="15" spans="1:29" x14ac:dyDescent="0.2">
      <c r="A15" t="s">
        <v>10</v>
      </c>
      <c r="B15" t="s">
        <v>37</v>
      </c>
      <c r="C15" t="s">
        <v>13</v>
      </c>
    </row>
    <row r="16" spans="1:29" x14ac:dyDescent="0.2">
      <c r="C16" s="8" t="s">
        <v>2</v>
      </c>
      <c r="D16" s="8"/>
      <c r="E16" s="8" t="s">
        <v>4</v>
      </c>
      <c r="F16" s="8"/>
      <c r="G16" s="8" t="s">
        <v>4</v>
      </c>
      <c r="H16" s="8"/>
      <c r="I16" s="8" t="s">
        <v>2</v>
      </c>
      <c r="J16" s="8"/>
      <c r="K16" s="8" t="s">
        <v>4</v>
      </c>
      <c r="L16" s="8"/>
    </row>
    <row r="17" spans="1:29" x14ac:dyDescent="0.2">
      <c r="C17" t="s">
        <v>89</v>
      </c>
      <c r="E17" t="s">
        <v>90</v>
      </c>
      <c r="G17" t="s">
        <v>91</v>
      </c>
      <c r="I17" t="s">
        <v>92</v>
      </c>
      <c r="K17" t="s">
        <v>17</v>
      </c>
    </row>
    <row r="18" spans="1:29" x14ac:dyDescent="0.2">
      <c r="B18" t="s">
        <v>16</v>
      </c>
      <c r="C18" t="s">
        <v>102</v>
      </c>
      <c r="E18" t="s">
        <v>103</v>
      </c>
      <c r="G18" t="s">
        <v>104</v>
      </c>
      <c r="I18" t="s">
        <v>105</v>
      </c>
    </row>
    <row r="19" spans="1:29" x14ac:dyDescent="0.2">
      <c r="A19" t="s">
        <v>11</v>
      </c>
      <c r="C19" s="2" t="s">
        <v>14</v>
      </c>
      <c r="D19" s="2"/>
    </row>
    <row r="20" spans="1:29" x14ac:dyDescent="0.2">
      <c r="C20" s="8" t="s">
        <v>2</v>
      </c>
      <c r="D20" s="8"/>
      <c r="E20" s="8" t="s">
        <v>4</v>
      </c>
      <c r="F20" s="8" t="s">
        <v>7</v>
      </c>
      <c r="G20" s="8" t="s">
        <v>4</v>
      </c>
      <c r="H20" s="8"/>
      <c r="I20" s="8" t="s">
        <v>2</v>
      </c>
      <c r="J20" s="8"/>
      <c r="K20" s="8" t="s">
        <v>4</v>
      </c>
      <c r="L20" s="8"/>
    </row>
    <row r="21" spans="1:29" x14ac:dyDescent="0.2">
      <c r="B21" t="s">
        <v>32</v>
      </c>
      <c r="C21" t="s">
        <v>33</v>
      </c>
      <c r="E21">
        <v>-125</v>
      </c>
      <c r="G21" t="s">
        <v>34</v>
      </c>
      <c r="K21">
        <v>-229</v>
      </c>
    </row>
    <row r="22" spans="1:29" x14ac:dyDescent="0.2">
      <c r="C22" t="s">
        <v>93</v>
      </c>
      <c r="E22" t="s">
        <v>107</v>
      </c>
      <c r="F22" t="s">
        <v>94</v>
      </c>
      <c r="G22" t="s">
        <v>95</v>
      </c>
      <c r="I22" t="s">
        <v>96</v>
      </c>
      <c r="K22" t="s">
        <v>97</v>
      </c>
    </row>
    <row r="23" spans="1:29" x14ac:dyDescent="0.2">
      <c r="C23" t="s">
        <v>106</v>
      </c>
      <c r="E23" t="s">
        <v>108</v>
      </c>
      <c r="F23" t="s">
        <v>109</v>
      </c>
      <c r="G23" t="s">
        <v>110</v>
      </c>
      <c r="I23" t="s">
        <v>111</v>
      </c>
      <c r="K23" t="s">
        <v>53</v>
      </c>
    </row>
    <row r="24" spans="1:29" x14ac:dyDescent="0.2">
      <c r="A24" t="s">
        <v>12</v>
      </c>
      <c r="B24" t="s">
        <v>36</v>
      </c>
      <c r="C24" t="s">
        <v>15</v>
      </c>
    </row>
    <row r="25" spans="1:29" x14ac:dyDescent="0.2">
      <c r="C25" s="8" t="s">
        <v>2</v>
      </c>
      <c r="D25" s="8"/>
      <c r="E25" s="8" t="s">
        <v>4</v>
      </c>
      <c r="F25" s="8"/>
      <c r="G25" s="8" t="s">
        <v>4</v>
      </c>
      <c r="H25" s="8"/>
      <c r="I25" s="8" t="s">
        <v>2</v>
      </c>
      <c r="J25" s="8"/>
      <c r="K25" s="8" t="s">
        <v>4</v>
      </c>
      <c r="L25" s="8"/>
    </row>
    <row r="26" spans="1:29" x14ac:dyDescent="0.2">
      <c r="C26" t="s">
        <v>98</v>
      </c>
      <c r="E26" t="s">
        <v>99</v>
      </c>
      <c r="G26" t="s">
        <v>100</v>
      </c>
      <c r="I26" t="s">
        <v>101</v>
      </c>
    </row>
    <row r="27" spans="1:29" x14ac:dyDescent="0.2">
      <c r="C27" t="s">
        <v>112</v>
      </c>
      <c r="E27" t="s">
        <v>113</v>
      </c>
      <c r="G27" t="s">
        <v>114</v>
      </c>
      <c r="I27" t="s">
        <v>115</v>
      </c>
    </row>
    <row r="28" spans="1:29" x14ac:dyDescent="0.2">
      <c r="A28" t="s">
        <v>9</v>
      </c>
      <c r="B28" t="s">
        <v>79</v>
      </c>
      <c r="C28" t="s">
        <v>15</v>
      </c>
      <c r="Y28" s="1" t="s">
        <v>71</v>
      </c>
    </row>
    <row r="29" spans="1:29" x14ac:dyDescent="0.2">
      <c r="C29" s="8" t="s">
        <v>2</v>
      </c>
      <c r="D29" s="8"/>
      <c r="E29" s="8" t="s">
        <v>4</v>
      </c>
      <c r="F29" s="8"/>
      <c r="G29" s="8" t="s">
        <v>4</v>
      </c>
      <c r="H29" s="8"/>
      <c r="I29" s="8" t="s">
        <v>2</v>
      </c>
      <c r="J29" s="8"/>
      <c r="K29" s="8" t="s">
        <v>4</v>
      </c>
      <c r="L29" s="8"/>
      <c r="Y29" t="s">
        <v>4</v>
      </c>
      <c r="Z29" t="s">
        <v>2</v>
      </c>
      <c r="AA29" t="s">
        <v>4</v>
      </c>
      <c r="AB29" t="s">
        <v>4</v>
      </c>
      <c r="AC29" t="s">
        <v>2</v>
      </c>
    </row>
    <row r="30" spans="1:29" x14ac:dyDescent="0.2">
      <c r="C30" t="s">
        <v>85</v>
      </c>
      <c r="E30" t="s">
        <v>86</v>
      </c>
      <c r="G30" t="s">
        <v>39</v>
      </c>
      <c r="I30" t="s">
        <v>87</v>
      </c>
      <c r="K30" t="s">
        <v>88</v>
      </c>
      <c r="Q30" s="3"/>
      <c r="R30" s="3"/>
      <c r="Y30" t="s">
        <v>80</v>
      </c>
      <c r="Z30" t="s">
        <v>81</v>
      </c>
      <c r="AA30" t="s">
        <v>82</v>
      </c>
      <c r="AB30" t="s">
        <v>83</v>
      </c>
      <c r="AC30" t="s">
        <v>84</v>
      </c>
    </row>
    <row r="31" spans="1:29" x14ac:dyDescent="0.2">
      <c r="C31" t="s">
        <v>116</v>
      </c>
      <c r="K31">
        <v>-778</v>
      </c>
      <c r="Y31">
        <v>219</v>
      </c>
      <c r="AC31">
        <v>-367</v>
      </c>
    </row>
    <row r="35" spans="1:3" x14ac:dyDescent="0.2">
      <c r="A35" t="s">
        <v>19</v>
      </c>
    </row>
    <row r="36" spans="1:3" x14ac:dyDescent="0.2">
      <c r="A36" s="4" t="s">
        <v>20</v>
      </c>
      <c r="C36" t="s">
        <v>22</v>
      </c>
    </row>
    <row r="37" spans="1:3" x14ac:dyDescent="0.2">
      <c r="A37" s="4" t="s">
        <v>21</v>
      </c>
      <c r="C37" t="s">
        <v>23</v>
      </c>
    </row>
    <row r="38" spans="1:3" x14ac:dyDescent="0.2">
      <c r="A38" s="4" t="s">
        <v>24</v>
      </c>
      <c r="C38" t="s">
        <v>25</v>
      </c>
    </row>
    <row r="40" spans="1:3" x14ac:dyDescent="0.2">
      <c r="A40" s="4" t="s">
        <v>26</v>
      </c>
      <c r="C40" t="s">
        <v>27</v>
      </c>
    </row>
  </sheetData>
  <phoneticPr fontId="6" type="noConversion"/>
  <hyperlinks>
    <hyperlink ref="A36" r:id="rId1" display="https://www.wwpdb.org/documentation/new-format-for-pdb-ids" xr:uid="{4367F026-335B-1B4C-B274-6117C40D7D26}"/>
    <hyperlink ref="A37" r:id="rId2" display="https://www.wwpdb.org/documentation/new-format-for-pdb-ids" xr:uid="{11FAB96F-6B9E-8047-ABF8-875513681F35}"/>
    <hyperlink ref="A38" r:id="rId3" display="https://www.wwpdb.org/documentation/new-format-for-pdb-ids" xr:uid="{10031CFA-9830-4243-988F-5BDCD4029270}"/>
    <hyperlink ref="A40" r:id="rId4" display="https://www.wwpdb.org/documentation/new-format-for-pdb-ids" xr:uid="{2F5E2661-5C35-6C47-9E78-C86758232EBC}"/>
  </hyperlinks>
  <pageMargins left="0.7" right="0.7" top="0.75" bottom="0.75" header="0.3" footer="0.3"/>
  <pageSetup paperSize="9" orientation="portrait" horizontalDpi="0" verticalDpi="0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Long_Branch_removed</vt:lpstr>
      <vt:lpstr>AnnotateMSA</vt:lpstr>
      <vt:lpstr>Long_Branch_removed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Yogapriya S</dc:creator>
  <cp:lastModifiedBy>Yogapriya S</cp:lastModifiedBy>
  <dcterms:created xsi:type="dcterms:W3CDTF">2025-09-23T03:54:06Z</dcterms:created>
  <dcterms:modified xsi:type="dcterms:W3CDTF">2025-11-17T03:09:18Z</dcterms:modified>
</cp:coreProperties>
</file>